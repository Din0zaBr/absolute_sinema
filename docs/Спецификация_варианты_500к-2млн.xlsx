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равнение" sheetId="1" state="visible" r:id="rId3"/>
    <sheet name="В1_Старт" sheetId="2" state="visible" r:id="rId4"/>
    <sheet name="В2_Пилот" sheetId="3" state="visible" r:id="rId5"/>
    <sheet name="В3_Риг" sheetId="4" state="visible" r:id="rId6"/>
    <sheet name="OPEX_Опци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<sst xmlns="http://schemas.openxmlformats.org/spreadsheetml/2006/main" count="402" uniqueCount="255">
  <si>
    <t xml:space="preserve">Варианты комплектации 0,5–2 млн ₽ — система учёта дорожных дефектов</t>
  </si>
  <si>
    <t xml:space="preserve">Цены — розница РФ, июль 2026, с НДС, ориентировочные (позиции с пометкой «оценка» — уточнить счетами). Синим — редактируемые значения, чёрным — формулы, зелёным — ссылки на листы. Каждый вариант — самостоятельный работоспособный контур; В1→В2→В3 — это лестница апгрейда, железо не выбрасывается.</t>
  </si>
  <si>
    <t xml:space="preserve">Параметр</t>
  </si>
  <si>
    <t xml:space="preserve">В1 «Старт»</t>
  </si>
  <si>
    <t xml:space="preserve">В2 «Пилот+»</t>
  </si>
  <si>
    <t xml:space="preserve">В3 «Риг»</t>
  </si>
  <si>
    <t xml:space="preserve">ИТОГО оборудование, ₽</t>
  </si>
  <si>
    <t xml:space="preserve">ВСЕГО с резервом 10%, ₽</t>
  </si>
  <si>
    <t xml:space="preserve">Машин в работе</t>
  </si>
  <si>
    <t xml:space="preserve">1</t>
  </si>
  <si>
    <t xml:space="preserve">2</t>
  </si>
  <si>
    <t xml:space="preserve">3 (1 риг + 2 регистратора)</t>
  </si>
  <si>
    <t xml:space="preserve">Съёмка</t>
  </si>
  <si>
    <t xml:space="preserve">VIOFO A229 Pro 2CH (4K+2K)</t>
  </si>
  <si>
    <t xml:space="preserve">2× BlackVue DR970X-2CH (4K+FHD)</t>
  </si>
  <si>
    <t xml:space="preserve">2× промкамеры 8,9 Мп global shutter (риг) + 2× BlackVue</t>
  </si>
  <si>
    <t xml:space="preserve">Геопривязка</t>
  </si>
  <si>
    <t xml:space="preserve">GPS регистратора + PPS-логгер (2–10 м)</t>
  </si>
  <si>
    <t xml:space="preserve">ZED-F9P, RTK-ready (см при поправках)</t>
  </si>
  <si>
    <t xml:space="preserve">ZED-F9R RTK+IMU на риге + F9P на остальных</t>
  </si>
  <si>
    <t xml:space="preserve">Сервер</t>
  </si>
  <si>
    <t xml:space="preserve">Общий ПК с АРМ (RTX 5060 Ti 16 ГБ)</t>
  </si>
  <si>
    <t xml:space="preserve">Выделенный ПК (RTX 5070 Ti), 32 ТБ зеркало</t>
  </si>
  <si>
    <t xml:space="preserve">Выделенный ПК (RTX 5070 Ti), 40 ТБ зеркало</t>
  </si>
  <si>
    <t xml:space="preserve">Выгрузка данных</t>
  </si>
  <si>
    <t xml:space="preserve">SD-карта вручную</t>
  </si>
  <si>
    <t xml:space="preserve">WiFi в депо (автоматически)</t>
  </si>
  <si>
    <t xml:space="preserve">Что закрывает</t>
  </si>
  <si>
    <t xml:space="preserve">Детекция, реестр с картой и уведомлениями, датасет, категорийная глубина</t>
  </si>
  <si>
    <t xml:space="preserve">То же + гео-дедуп повторных проездов, 2 маршрута, поверенный ground truth (акты)</t>
  </si>
  <si>
    <t xml:space="preserve">То же + ПИЛОТ ИЗМЕРЕНИЯ ГЛУБИНЫ (two-view, режим E) на калиброванном риге — главный исследовательский вопрос проекта</t>
  </si>
  <si>
    <t xml:space="preserve">Чего НЕ закрывает</t>
  </si>
  <si>
    <t xml:space="preserve">Сантиметры глубины (rolling shutter), RTK, автовыгрузку</t>
  </si>
  <si>
    <t xml:space="preserve">Сантиметры глубины — регистраторы физически не дают метрологию</t>
  </si>
  <si>
    <t xml:space="preserve">Транспортное исполнение борта (мини-ПК — компромисс); тираж рига на весь парк</t>
  </si>
  <si>
    <t xml:space="preserve">Путь апгрейда</t>
  </si>
  <si>
    <t xml:space="preserve">→ В2 (добавить машину, сервер, WiFi)</t>
  </si>
  <si>
    <t xml:space="preserve">→ В3 (добавить риг)</t>
  </si>
  <si>
    <t xml:space="preserve">→ профессиональная спецификация (отд. файл, ~10,9 млн): транспортные борт-ПК, камеры 12–24 Мп, GPU-сервер, СХД</t>
  </si>
  <si>
    <t xml:space="preserve">Честная оговорка (принцип проекта): в В1 и В2 глубина ям выдаётся только категорией «мелкая/средняя/глубокая» — видеорегистраторы физически не обеспечивают измерение в сантиметрах. Сантиметры глубины появляются в В3 на риговой машине — после полевого пилота против рейки.</t>
  </si>
  <si>
    <t xml:space="preserve">Вариант 1 «Старт» — 1 машина, ориентир 0,5 млн ₽</t>
  </si>
  <si>
    <t xml:space="preserve">Минимальный работоспособный контур: детекция дефектов, реестр с картой и уведомлениями, наработка собственного датасета. Перенос данных — на SD-карте вручную. Глубина ям — только категорийно.</t>
  </si>
  <si>
    <t xml:space="preserve">№</t>
  </si>
  <si>
    <t xml:space="preserve">Наименование</t>
  </si>
  <si>
    <t xml:space="preserve">Назначение / обоснование</t>
  </si>
  <si>
    <t xml:space="preserve">Модель-пример</t>
  </si>
  <si>
    <t xml:space="preserve">Ед.</t>
  </si>
  <si>
    <t xml:space="preserve">Кол-во</t>
  </si>
  <si>
    <t xml:space="preserve">Цена за ед., ₽</t>
  </si>
  <si>
    <t xml:space="preserve">Сумма, ₽</t>
  </si>
  <si>
    <t xml:space="preserve">Ориентир цены (июль 2026)</t>
  </si>
  <si>
    <t xml:space="preserve">Примечание</t>
  </si>
  <si>
    <t xml:space="preserve">Видеорегистратор 2-канальный 4K+2K с GPS</t>
  </si>
  <si>
    <t xml:space="preserve">Съёмка перед/зад для детекции дефектов и наработки датасета</t>
  </si>
  <si>
    <t xml:space="preserve">VIOFO A229 Pro 2CH</t>
  </si>
  <si>
    <t xml:space="preserve">шт</t>
  </si>
  <si>
    <t xml:space="preserve">оценка 30–40 тыс. (viofo.ru; A139 Pro был 28 990)</t>
  </si>
  <si>
    <t xml:space="preserve">Rolling shutter и H.265 — метрологию глубины не даёт (только категория)</t>
  </si>
  <si>
    <t xml:space="preserve">Карта microSD 512 ГБ high-endurance</t>
  </si>
  <si>
    <t xml:space="preserve">Носитель записи; смена ≈ 30–60 ГБ видео</t>
  </si>
  <si>
    <t xml:space="preserve">Samsung PRO Endurance 512GB</t>
  </si>
  <si>
    <t xml:space="preserve">оценка</t>
  </si>
  <si>
    <t xml:space="preserve">Скрытая проводка + установка</t>
  </si>
  <si>
    <t xml:space="preserve">Питание от бортсети с защитой АКБ</t>
  </si>
  <si>
    <t xml:space="preserve">hardwire kit + работы</t>
  </si>
  <si>
    <t xml:space="preserve">компл</t>
  </si>
  <si>
    <t xml:space="preserve">GPS-логгер с PPS</t>
  </si>
  <si>
    <t xml:space="preserve">Резервный трек и точное время</t>
  </si>
  <si>
    <t xml:space="preserve">u-blox NEO-M10 с антенной</t>
  </si>
  <si>
    <t xml:space="preserve">amperkot.ru — 1 425</t>
  </si>
  <si>
    <t xml:space="preserve">ПК «сервер + АРМ» в одном</t>
  </si>
  <si>
    <t xml:space="preserve">Ночной прогон смены (скрининг GPU + полный конвейер), БД, веб-интерфейс, разметка датасета</t>
  </si>
  <si>
    <t xml:space="preserve">Ryzen 7 9700X / 64 ГБ DDR5 / RTX 5060 Ti 16 ГБ / NVMe 2 ТБ / HDD 16 ТБ</t>
  </si>
  <si>
    <t xml:space="preserve">оценка (сборка); движок проекта работает и на CPU</t>
  </si>
  <si>
    <t xml:space="preserve">Апгрейд до RTX 5070 Ti (от 97 990, regard.ru) = +40–50 тыс.</t>
  </si>
  <si>
    <t xml:space="preserve">Монитор 27" 4K IPS</t>
  </si>
  <si>
    <t xml:space="preserve">Разметка мелких дефектов</t>
  </si>
  <si>
    <t xml:space="preserve">LG 27UP650 / Philips 27E1N5900E</t>
  </si>
  <si>
    <t xml:space="preserve">оценка 35–45 тыс.</t>
  </si>
  <si>
    <t xml:space="preserve">ИБП 1500 ВА</t>
  </si>
  <si>
    <t xml:space="preserve">Защита ПК и БД</t>
  </si>
  <si>
    <t xml:space="preserve">Ippon Back Basic 1500 Euro</t>
  </si>
  <si>
    <t xml:space="preserve">nix.ru — 16 690</t>
  </si>
  <si>
    <t xml:space="preserve">Периферия</t>
  </si>
  <si>
    <t xml:space="preserve">Клавиатура, мышь</t>
  </si>
  <si>
    <t xml:space="preserve">Logitech MK-серия</t>
  </si>
  <si>
    <t xml:space="preserve">Калибровочные мишени</t>
  </si>
  <si>
    <t xml:space="preserve">Шахматка + ChArUco (ручной режим досъёмки, интринзики)</t>
  </si>
  <si>
    <t xml:space="preserve">УФ-печать на ПВХ 5 мм, А2</t>
  </si>
  <si>
    <t xml:space="preserve">оценка (лист ПВХ 3 мм — 1 390, poliservis.com)</t>
  </si>
  <si>
    <t xml:space="preserve">Рейка дорожная 3 м с промерным клином (без поверки)</t>
  </si>
  <si>
    <t xml:space="preserve">Ground truth глубины для валидации; поверка добавляется позже при выходе на акты</t>
  </si>
  <si>
    <t xml:space="preserve">РДУ-аналог (ГОСТ 30412)</t>
  </si>
  <si>
    <t xml:space="preserve">nevageo.ru — от 39 600</t>
  </si>
  <si>
    <t xml:space="preserve">С поверкой — 58 000 (rusgeocom.ru)</t>
  </si>
  <si>
    <t xml:space="preserve">Дальномер + рулетка + линейка</t>
  </si>
  <si>
    <t xml:space="preserve">Контрольные замеры, высота установки камер</t>
  </si>
  <si>
    <t xml:space="preserve">Bosch GLM 50 + STAYER 5 м + линейка ГОСТ 427</t>
  </si>
  <si>
    <t xml:space="preserve">Комплект безопасности</t>
  </si>
  <si>
    <t xml:space="preserve">Работы на проезжей части</t>
  </si>
  <si>
    <t xml:space="preserve">2 жилета + 4 конуса + знак</t>
  </si>
  <si>
    <t xml:space="preserve">ИТОГО</t>
  </si>
  <si>
    <t xml:space="preserve">Резерв на непредвиденные, 10%</t>
  </si>
  <si>
    <t xml:space="preserve">ВСЕГО с резервом</t>
  </si>
  <si>
    <t xml:space="preserve">Вариант 2 «Пилот+» — 2 машины, ориентир 1 млн ₽</t>
  </si>
  <si>
    <t xml:space="preserve">Тот же контур, что В1, плюс: две машины, выделенный сервер, нормальная геопривязка (ZED-F9P, RTK-ready), автоматическая WiFi-выгрузка в депо, поверенная рейка для юридически значимого ground truth.</t>
  </si>
  <si>
    <t xml:space="preserve">Видеорегистратор премиум 2-кан. 4K+FHD с GPS и WiFi</t>
  </si>
  <si>
    <t xml:space="preserve">Съёмка перед/зад; WiFi — автоматическая выгрузка в депо</t>
  </si>
  <si>
    <t xml:space="preserve">BlackVue DR970X-2CH</t>
  </si>
  <si>
    <t xml:space="preserve">alarm.ru — 85 490 (в наличии)</t>
  </si>
  <si>
    <t xml:space="preserve">Rolling shutter/H.265 — метрологию глубины не даёт</t>
  </si>
  <si>
    <t xml:space="preserve">Карта microSD 256 ГБ high-endurance</t>
  </si>
  <si>
    <t xml:space="preserve">Samsung PRO Endurance</t>
  </si>
  <si>
    <t xml:space="preserve">GNSS-приёмник RTK-ready с PPS</t>
  </si>
  <si>
    <t xml:space="preserve">Точная геопривязка кадров (дедуп повторных проездов); RTK 1–2 см при поправках</t>
  </si>
  <si>
    <t xml:space="preserve">u-blox ZED-F9P (плата + антенна)</t>
  </si>
  <si>
    <t xml:space="preserve">asiaoptom.com — 20–35 тыс.</t>
  </si>
  <si>
    <t xml:space="preserve">Параллельный импорт</t>
  </si>
  <si>
    <t xml:space="preserve">Сервер-ПК (выделенный)</t>
  </si>
  <si>
    <t xml:space="preserve">Скрининг и конвейер по 2 машинам, БД PostGIS, веб-интерфейс, дообучение YOLO ночами</t>
  </si>
  <si>
    <t xml:space="preserve">Ryzen 9 9950X / 64 ГБ DDR5 / RTX 5070 Ti 16 ГБ / NVMe 2 ТБ / 2×16 ТБ HDD (зеркало)</t>
  </si>
  <si>
    <t xml:space="preserve">RTX 5070 Ti — от 97 990 (regard.ru); остальное оценка</t>
  </si>
  <si>
    <t xml:space="preserve">АРМ оператора: разметка + реестр/карта</t>
  </si>
  <si>
    <t xml:space="preserve">LG 27UP650</t>
  </si>
  <si>
    <t xml:space="preserve">Ippon Back Basic 1500</t>
  </si>
  <si>
    <t xml:space="preserve">Клавиатура, мышь, гарнитура</t>
  </si>
  <si>
    <t xml:space="preserve">Logitech</t>
  </si>
  <si>
    <t xml:space="preserve">Точка доступа WiFi 6 в депо</t>
  </si>
  <si>
    <t xml:space="preserve">Автовыгрузка смен при заезде</t>
  </si>
  <si>
    <t xml:space="preserve">TP-Link Omada EAP670 + PoE</t>
  </si>
  <si>
    <t xml:space="preserve">tplink.com.ru — 17 090</t>
  </si>
  <si>
    <t xml:space="preserve">шахматка + ChArUco, ПВХ 5 мм</t>
  </si>
  <si>
    <t xml:space="preserve">Рейка дорожная 3 м с клином, С ПОВЕРКОЙ</t>
  </si>
  <si>
    <t xml:space="preserve">Юридически значимый ground truth (акты по ГОСТ Р 50597)</t>
  </si>
  <si>
    <t xml:space="preserve">РДУ «Кондор»</t>
  </si>
  <si>
    <t xml:space="preserve">rusgeocom.ru — 58 000</t>
  </si>
  <si>
    <t xml:space="preserve">Ежегодное продление поверки ~8 тыс.</t>
  </si>
  <si>
    <t xml:space="preserve">Дальномер + мерный инструмент</t>
  </si>
  <si>
    <t xml:space="preserve">Bosch GLM 50 + рулетка/линейка</t>
  </si>
  <si>
    <t xml:space="preserve">Внешний SSD 2 ТБ USB-C</t>
  </si>
  <si>
    <t xml:space="preserve">Резервный перенос данных</t>
  </si>
  <si>
    <t xml:space="preserve">Samsung T7</t>
  </si>
  <si>
    <t xml:space="preserve">оценка 18–22 тыс.</t>
  </si>
  <si>
    <t xml:space="preserve">Вариант 3 «Риг» — 3 машины (1 с промкамерами + 2 с регистраторами), ориентир 1,8 млн ₽</t>
  </si>
  <si>
    <t xml:space="preserve">Единственный вариант, отвечающий на главный исследовательский вопрос проекта: пилот двухвидовой глубины (режим E) на настоящем калиброванном риге с global shutter. Плюс покрытие сети тремя машинами.</t>
  </si>
  <si>
    <t xml:space="preserve">БЛОК А. Риговая машина №1 — промкамеры global shutter (пилот измерений глубины)</t>
  </si>
  <si>
    <t xml:space="preserve">Промкамера 8,9 Мп global shutter GigE</t>
  </si>
  <si>
    <t xml:space="preserve">Перед + зад; глобальный затвор обязателен для измерений на ходу (на 60 км/ч смаз 17 мм/мс)</t>
  </si>
  <si>
    <t xml:space="preserve">Hikrobot MV-CS089-10GC (Sony IMX267, 1")</t>
  </si>
  <si>
    <t xml:space="preserve">оценка 100–140 тыс. (дистр.: mallenom.ru, digitoria.ru; 5 Мп GS — 71 638)</t>
  </si>
  <si>
    <t xml:space="preserve">НЕ брать «20 Мп» на IMX183/226 — rolling shutter</t>
  </si>
  <si>
    <t xml:space="preserve">Объектив C-mount 12 Мп</t>
  </si>
  <si>
    <t xml:space="preserve">Полоса дороги с дистанций 2,5–8 м</t>
  </si>
  <si>
    <t xml:space="preserve">Hikrobot MVL-KF1228M-12MP</t>
  </si>
  <si>
    <t xml:space="preserve">оценка 25–45 тыс.</t>
  </si>
  <si>
    <t xml:space="preserve">Термокожух с обогревом</t>
  </si>
  <si>
    <t xml:space="preserve">Всесезонная работа</t>
  </si>
  <si>
    <t xml:space="preserve">Wizebox (РФ)</t>
  </si>
  <si>
    <t xml:space="preserve">оценка 10–25 тыс. (wizebox.ru)</t>
  </si>
  <si>
    <t xml:space="preserve">Бортовой мини-ПК + PoE-инжекторы</t>
  </si>
  <si>
    <t xml:space="preserve">Съёмка по дистанции, запись кадров, синхронизация PPS. Компактный x86 вместо транспортного Neousys (—450 тыс.)</t>
  </si>
  <si>
    <t xml:space="preserve">мини-ПК x86 (Ryzen 7/Core i5) + 2×PoE+</t>
  </si>
  <si>
    <t xml:space="preserve">Компромисс варианта: потребительское исполнение, питание через DC-UPS</t>
  </si>
  <si>
    <t xml:space="preserve">DC-UPS / питание 12 В с задержкой выключения</t>
  </si>
  <si>
    <t xml:space="preserve">Корректное завершение записи при глушении</t>
  </si>
  <si>
    <t xml:space="preserve">Mini-Box OpenUPS / аналог</t>
  </si>
  <si>
    <t xml:space="preserve">оценка 15–30 тыс.</t>
  </si>
  <si>
    <t xml:space="preserve">NVMe SSD 2 ТБ</t>
  </si>
  <si>
    <t xml:space="preserve">Буфер смен</t>
  </si>
  <si>
    <t xml:space="preserve">Samsung 990 Pro 2TB</t>
  </si>
  <si>
    <t xml:space="preserve">GNSS RTK-модуль с IMU и PPS + survey-антенна</t>
  </si>
  <si>
    <t xml:space="preserve">Геопривязка + первичный тангаж; PPS триггерит кадры по дистанции</t>
  </si>
  <si>
    <t xml:space="preserve">u-blox ZED-F9R + антенна</t>
  </si>
  <si>
    <t xml:space="preserve">оценка 55–75 тыс.</t>
  </si>
  <si>
    <t xml:space="preserve">Крепёж: платформа, кронштейны, виброразвязка</t>
  </si>
  <si>
    <t xml:space="preserve">Жёсткий риг = постоянный эталон масштаба</t>
  </si>
  <si>
    <t xml:space="preserve">экспедиционная платформа + виброопоры</t>
  </si>
  <si>
    <t xml:space="preserve">Кабели M12/GigE, PoE, гермовводы</t>
  </si>
  <si>
    <t xml:space="preserve">Монтаж и калибровка рига</t>
  </si>
  <si>
    <t xml:space="preserve">Интринзики (шахматка), высота, тангаж</t>
  </si>
  <si>
    <t xml:space="preserve">работы</t>
  </si>
  <si>
    <t xml:space="preserve">усл</t>
  </si>
  <si>
    <t xml:space="preserve">Повторять после каждого демонтажа</t>
  </si>
  <si>
    <t xml:space="preserve">БЛОК Б. Машины №2–3 — видеорегистраторы (покрытие сети)</t>
  </si>
  <si>
    <t xml:space="preserve">Видеорегистратор BlackVue DR970X-2CH</t>
  </si>
  <si>
    <t xml:space="preserve">Детекция и реестр на двух дополнительных маршрутах</t>
  </si>
  <si>
    <t xml:space="preserve">alarm.ru — 85 490</t>
  </si>
  <si>
    <t xml:space="preserve">microSD 256 ГБ + проводка + установка</t>
  </si>
  <si>
    <t xml:space="preserve">GNSS ZED-F9P + антенна</t>
  </si>
  <si>
    <t xml:space="preserve">Геопривязка кадров</t>
  </si>
  <si>
    <t xml:space="preserve">u-blox ZED-F9P</t>
  </si>
  <si>
    <t xml:space="preserve">БЛОК В. Сервер и АРМ</t>
  </si>
  <si>
    <t xml:space="preserve">Сервер-ПК</t>
  </si>
  <si>
    <t xml:space="preserve">Конвейер по 3 машинам, БД, веб, дообучение; фотограмметрия рига</t>
  </si>
  <si>
    <t xml:space="preserve">Ryzen 9 9950X / 96 ГБ DDR5 / RTX 5070 Ti 16 ГБ / NVMe 4 ТБ / 2×20 ТБ HDD</t>
  </si>
  <si>
    <t xml:space="preserve">RTX 5070 Ti от 97 990 (regard.ru); HDD/RAM — оценка при дефиците 2026</t>
  </si>
  <si>
    <t xml:space="preserve">Logitech + гарнитура</t>
  </si>
  <si>
    <t xml:space="preserve">Автовыгрузка (риг: 10–15 ГБ/смена кадрами)</t>
  </si>
  <si>
    <t xml:space="preserve">TP-Link EAP670</t>
  </si>
  <si>
    <t xml:space="preserve">БЛОК Г. Калибровка и контрольные замеры</t>
  </si>
  <si>
    <t xml:space="preserve">Калибровочные мишени (вкл. ChArUco А1 на алюкобонде)</t>
  </si>
  <si>
    <t xml:space="preserve">печать АКП/ПВХ</t>
  </si>
  <si>
    <t xml:space="preserve">Ground truth глубины для пилота рига и актов</t>
  </si>
  <si>
    <t xml:space="preserve">Bosch GLM 50 / ADA + рулетки</t>
  </si>
  <si>
    <t xml:space="preserve">жилеты + конусы + знак</t>
  </si>
  <si>
    <t xml:space="preserve">OPEX и опции апгрейда</t>
  </si>
  <si>
    <t xml:space="preserve">Строка «ИТОГО» на этом листе — сумма всех строк листа, приведена справочно и в бюджет вариантов не входит.</t>
  </si>
  <si>
    <t xml:space="preserve">OPEX (в год)</t>
  </si>
  <si>
    <t xml:space="preserve">RTK-поправки NTRIP (по потребности)</t>
  </si>
  <si>
    <t xml:space="preserve">Нужны только для см-точности привязки; метровая точность GNSS — бесплатно. Для пилота можно не подключать</t>
  </si>
  <si>
    <t xml:space="preserve">EFT-CORS (Ростов-на-Дону)</t>
  </si>
  <si>
    <t xml:space="preserve">приёмник</t>
  </si>
  <si>
    <t xml:space="preserve">eft-cors.ru — 50 400 ₽/год</t>
  </si>
  <si>
    <t xml:space="preserve">SmartNet — 41 900 ₽/год; своя база (см. опции) обнуляет</t>
  </si>
  <si>
    <t xml:space="preserve">Продление поверки рейки</t>
  </si>
  <si>
    <t xml:space="preserve">год</t>
  </si>
  <si>
    <t xml:space="preserve">Связь LTE (если выгрузка с маршрута)</t>
  </si>
  <si>
    <t xml:space="preserve">SIM М2М</t>
  </si>
  <si>
    <t xml:space="preserve">шт/год</t>
  </si>
  <si>
    <t xml:space="preserve">оценка 700 ₽/мес</t>
  </si>
  <si>
    <t xml:space="preserve">Опция</t>
  </si>
  <si>
    <t xml:space="preserve">Опции апгрейда (в итоги вариантов не входят)</t>
  </si>
  <si>
    <t xml:space="preserve">Собственная базовая станция RTK</t>
  </si>
  <si>
    <t xml:space="preserve">Бесплатные поправки всем машинам в радиусе ~30–50 км</t>
  </si>
  <si>
    <t xml:space="preserve">ZED-F9P + антенна на крыше офиса</t>
  </si>
  <si>
    <t xml:space="preserve">У EFT-CORS есть схема «база у вас — 2 доступа бесплатно»</t>
  </si>
  <si>
    <t xml:space="preserve">Апгрейд GPU сервера до RTX 5090 32 ГБ</t>
  </si>
  <si>
    <t xml:space="preserve">Быстрое дообучение, запас на парк</t>
  </si>
  <si>
    <t xml:space="preserve">RTX 5090</t>
  </si>
  <si>
    <t xml:space="preserve">regard.ru — от 424 990</t>
  </si>
  <si>
    <t xml:space="preserve">Замена 5070 Ti: доплата ~330 тыс.</t>
  </si>
  <si>
    <t xml:space="preserve">Транспортный бортовой ПК вместо мини-ПК</t>
  </si>
  <si>
    <t xml:space="preserve">Вибростойкость, ignition, −40…+70 °C</t>
  </si>
  <si>
    <t xml:space="preserve">Neousys Nuvo-7250VTC</t>
  </si>
  <si>
    <t xml:space="preserve">оценка 450–700 тыс. (nnz-ipc.ru)</t>
  </si>
  <si>
    <t xml:space="preserve">Для тиража рига</t>
  </si>
  <si>
    <t xml:space="preserve">Камеры 12,3 Мп вместо 8,9 Мп</t>
  </si>
  <si>
    <t xml:space="preserve">~1 мм/px в рабочей зоне</t>
  </si>
  <si>
    <t xml:space="preserve">Hikrobot MV-CS120-10GC</t>
  </si>
  <si>
    <t xml:space="preserve">оценка 130–180 тыс.</t>
  </si>
  <si>
    <t xml:space="preserve">Доплата ~50 тыс./камера</t>
  </si>
  <si>
    <t xml:space="preserve">Дальномер с поверкой (IP65)</t>
  </si>
  <si>
    <t xml:space="preserve">Если замеры дистанций идут в протоколы</t>
  </si>
  <si>
    <t xml:space="preserve">Leica DISTO X3</t>
  </si>
  <si>
    <t xml:space="preserve">geooptic.ru — 47 300 + поверка</t>
  </si>
  <si>
    <t xml:space="preserve">NAS 4 отсека + 2×16 ТБ</t>
  </si>
  <si>
    <t xml:space="preserve">Выделенный архив и бэкап БД</t>
  </si>
  <si>
    <t xml:space="preserve">QNAP/Synology 4-bay</t>
  </si>
  <si>
    <t xml:space="preserve">Ещё одна регистраторная машина</t>
  </si>
  <si>
    <t xml:space="preserve">Расширение покрытия</t>
  </si>
  <si>
    <t xml:space="preserve">BlackVue + SD + проводка + F9P</t>
  </si>
  <si>
    <t xml:space="preserve">по ценам В2</t>
  </si>
  <si>
    <t xml:space="preserve">Доп. АРМ оператора (ПК без GPU + монитор)</t>
  </si>
  <si>
    <t xml:space="preserve">Если разметчик и оператор — разные люди</t>
  </si>
  <si>
    <t xml:space="preserve">Ryzen 5 / 32 ГБ + 27" 4K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</si>
</sst>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39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В1_Старт!H16</f>
        <v>475000</v>
      </c>
      <c r="C5" s="5" t="n">
        <f aca="false">В2_Пилот!H18</f>
        <v>919000</v>
      </c>
      <c r="D5" s="5" t="n">
        <f aca="false">В3_Риг!H31</f>
        <v>1602000</v>
      </c>
    </row>
    <row r="6" customFormat="false" ht="15" hidden="false" customHeight="false" outlineLevel="0" collapsed="false">
      <c r="A6" s="6" t="s">
        <v>7</v>
      </c>
      <c r="B6" s="7" t="n">
        <f aca="false">В1_Старт!H18</f>
        <v>523000</v>
      </c>
      <c r="C6" s="7" t="n">
        <f aca="false">В2_Пилот!H20</f>
        <v>1011000</v>
      </c>
      <c r="D6" s="7" t="n">
        <f aca="false">В3_Риг!H33</f>
        <v>1762000</v>
      </c>
    </row>
    <row r="7" customFormat="false" ht="15" hidden="false" customHeight="false" outlineLevel="0" collapsed="false">
      <c r="A7" s="4" t="s">
        <v>8</v>
      </c>
      <c r="B7" s="8" t="s">
        <v>9</v>
      </c>
      <c r="C7" s="8" t="s">
        <v>10</v>
      </c>
      <c r="D7" s="8" t="s">
        <v>11</v>
      </c>
    </row>
    <row r="8" customFormat="false" ht="23.85" hidden="false" customHeight="false" outlineLevel="0" collapsed="false">
      <c r="A8" s="4" t="s">
        <v>12</v>
      </c>
      <c r="B8" s="8" t="s">
        <v>13</v>
      </c>
      <c r="C8" s="8" t="s">
        <v>14</v>
      </c>
      <c r="D8" s="8" t="s">
        <v>15</v>
      </c>
    </row>
    <row r="9" customFormat="false" ht="23.85" hidden="false" customHeight="false" outlineLevel="0" collapsed="false">
      <c r="A9" s="4" t="s">
        <v>16</v>
      </c>
      <c r="B9" s="8" t="s">
        <v>17</v>
      </c>
      <c r="C9" s="8" t="s">
        <v>18</v>
      </c>
      <c r="D9" s="8" t="s">
        <v>19</v>
      </c>
    </row>
    <row r="10" customFormat="false" ht="23.85" hidden="false" customHeight="false" outlineLevel="0" collapsed="false">
      <c r="A10" s="4" t="s">
        <v>20</v>
      </c>
      <c r="B10" s="8" t="s">
        <v>21</v>
      </c>
      <c r="C10" s="8" t="s">
        <v>22</v>
      </c>
      <c r="D10" s="8" t="s">
        <v>23</v>
      </c>
    </row>
    <row r="11" customFormat="false" ht="15" hidden="false" customHeight="false" outlineLevel="0" collapsed="false">
      <c r="A11" s="4" t="s">
        <v>24</v>
      </c>
      <c r="B11" s="8" t="s">
        <v>25</v>
      </c>
      <c r="C11" s="8" t="s">
        <v>26</v>
      </c>
      <c r="D11" s="8" t="s">
        <v>26</v>
      </c>
    </row>
    <row r="12" customFormat="false" ht="35.05" hidden="false" customHeight="false" outlineLevel="0" collapsed="false">
      <c r="A12" s="4" t="s">
        <v>27</v>
      </c>
      <c r="B12" s="8" t="s">
        <v>28</v>
      </c>
      <c r="C12" s="8" t="s">
        <v>29</v>
      </c>
      <c r="D12" s="8" t="s">
        <v>30</v>
      </c>
    </row>
    <row r="13" customFormat="false" ht="23.85" hidden="false" customHeight="false" outlineLevel="0" collapsed="false">
      <c r="A13" s="4" t="s">
        <v>31</v>
      </c>
      <c r="B13" s="8" t="s">
        <v>32</v>
      </c>
      <c r="C13" s="8" t="s">
        <v>33</v>
      </c>
      <c r="D13" s="8" t="s">
        <v>34</v>
      </c>
    </row>
    <row r="14" customFormat="false" ht="35.05" hidden="false" customHeight="false" outlineLevel="0" collapsed="false">
      <c r="A14" s="4" t="s">
        <v>35</v>
      </c>
      <c r="B14" s="8" t="s">
        <v>36</v>
      </c>
      <c r="C14" s="8" t="s">
        <v>37</v>
      </c>
      <c r="D14" s="8" t="s">
        <v>38</v>
      </c>
    </row>
    <row r="16" customFormat="false" ht="39.75" hidden="false" customHeight="true" outlineLevel="0" collapsed="false">
      <c r="A16" s="2" t="s">
        <v>39</v>
      </c>
      <c r="B16" s="2"/>
      <c r="C16" s="2"/>
      <c r="D16" s="2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  <c r="J3" s="10" t="s">
        <v>51</v>
      </c>
    </row>
    <row r="4" customFormat="false" ht="23.85" hidden="false" customHeight="false" outlineLevel="0" collapsed="false">
      <c r="A4" s="11" t="n">
        <v>1</v>
      </c>
      <c r="B4" s="4" t="s">
        <v>52</v>
      </c>
      <c r="C4" s="8" t="s">
        <v>53</v>
      </c>
      <c r="D4" s="8" t="s">
        <v>54</v>
      </c>
      <c r="E4" s="11" t="s">
        <v>55</v>
      </c>
      <c r="F4" s="12" t="n">
        <v>1</v>
      </c>
      <c r="G4" s="13" t="n">
        <v>35000</v>
      </c>
      <c r="H4" s="14" t="n">
        <f aca="false">F4*G4</f>
        <v>35000</v>
      </c>
      <c r="I4" s="8" t="s">
        <v>56</v>
      </c>
      <c r="J4" s="8" t="s">
        <v>57</v>
      </c>
    </row>
    <row r="5" customFormat="false" ht="23.85" hidden="false" customHeight="false" outlineLevel="0" collapsed="false">
      <c r="A5" s="11" t="n">
        <v>2</v>
      </c>
      <c r="B5" s="4" t="s">
        <v>58</v>
      </c>
      <c r="C5" s="8" t="s">
        <v>59</v>
      </c>
      <c r="D5" s="8" t="s">
        <v>60</v>
      </c>
      <c r="E5" s="11" t="s">
        <v>55</v>
      </c>
      <c r="F5" s="12" t="n">
        <v>1</v>
      </c>
      <c r="G5" s="13" t="n">
        <v>9000</v>
      </c>
      <c r="H5" s="14" t="n">
        <f aca="false">F5*G5</f>
        <v>9000</v>
      </c>
      <c r="I5" s="8" t="s">
        <v>61</v>
      </c>
      <c r="J5" s="8"/>
    </row>
    <row r="6" customFormat="false" ht="15" hidden="false" customHeight="false" outlineLevel="0" collapsed="false">
      <c r="A6" s="11" t="n">
        <v>3</v>
      </c>
      <c r="B6" s="4" t="s">
        <v>62</v>
      </c>
      <c r="C6" s="8" t="s">
        <v>63</v>
      </c>
      <c r="D6" s="8" t="s">
        <v>64</v>
      </c>
      <c r="E6" s="11" t="s">
        <v>65</v>
      </c>
      <c r="F6" s="12" t="n">
        <v>1</v>
      </c>
      <c r="G6" s="13" t="n">
        <v>10000</v>
      </c>
      <c r="H6" s="14" t="n">
        <f aca="false">F6*G6</f>
        <v>10000</v>
      </c>
      <c r="I6" s="8" t="s">
        <v>61</v>
      </c>
      <c r="J6" s="8"/>
    </row>
    <row r="7" customFormat="false" ht="15" hidden="false" customHeight="false" outlineLevel="0" collapsed="false">
      <c r="A7" s="11" t="n">
        <v>4</v>
      </c>
      <c r="B7" s="4" t="s">
        <v>66</v>
      </c>
      <c r="C7" s="8" t="s">
        <v>67</v>
      </c>
      <c r="D7" s="8" t="s">
        <v>68</v>
      </c>
      <c r="E7" s="11" t="s">
        <v>55</v>
      </c>
      <c r="F7" s="12" t="n">
        <v>1</v>
      </c>
      <c r="G7" s="13" t="n">
        <v>2000</v>
      </c>
      <c r="H7" s="14" t="n">
        <f aca="false">F7*G7</f>
        <v>2000</v>
      </c>
      <c r="I7" s="8" t="s">
        <v>69</v>
      </c>
      <c r="J7" s="8"/>
    </row>
    <row r="8" customFormat="false" ht="35.05" hidden="false" customHeight="false" outlineLevel="0" collapsed="false">
      <c r="A8" s="11" t="n">
        <v>5</v>
      </c>
      <c r="B8" s="4" t="s">
        <v>70</v>
      </c>
      <c r="C8" s="8" t="s">
        <v>71</v>
      </c>
      <c r="D8" s="8" t="s">
        <v>72</v>
      </c>
      <c r="E8" s="11" t="s">
        <v>55</v>
      </c>
      <c r="F8" s="12" t="n">
        <v>1</v>
      </c>
      <c r="G8" s="13" t="n">
        <v>280000</v>
      </c>
      <c r="H8" s="14" t="n">
        <f aca="false">F8*G8</f>
        <v>280000</v>
      </c>
      <c r="I8" s="8" t="s">
        <v>73</v>
      </c>
      <c r="J8" s="8" t="s">
        <v>74</v>
      </c>
    </row>
    <row r="9" customFormat="false" ht="23.85" hidden="false" customHeight="false" outlineLevel="0" collapsed="false">
      <c r="A9" s="11" t="n">
        <v>6</v>
      </c>
      <c r="B9" s="4" t="s">
        <v>75</v>
      </c>
      <c r="C9" s="8" t="s">
        <v>76</v>
      </c>
      <c r="D9" s="8" t="s">
        <v>77</v>
      </c>
      <c r="E9" s="11" t="s">
        <v>55</v>
      </c>
      <c r="F9" s="12" t="n">
        <v>1</v>
      </c>
      <c r="G9" s="13" t="n">
        <v>45000</v>
      </c>
      <c r="H9" s="14" t="n">
        <f aca="false">F9*G9</f>
        <v>45000</v>
      </c>
      <c r="I9" s="8" t="s">
        <v>78</v>
      </c>
      <c r="J9" s="8"/>
    </row>
    <row r="10" customFormat="false" ht="15" hidden="false" customHeight="false" outlineLevel="0" collapsed="false">
      <c r="A10" s="11" t="n">
        <v>7</v>
      </c>
      <c r="B10" s="4" t="s">
        <v>79</v>
      </c>
      <c r="C10" s="8" t="s">
        <v>80</v>
      </c>
      <c r="D10" s="8" t="s">
        <v>81</v>
      </c>
      <c r="E10" s="11" t="s">
        <v>55</v>
      </c>
      <c r="F10" s="12" t="n">
        <v>1</v>
      </c>
      <c r="G10" s="13" t="n">
        <v>17000</v>
      </c>
      <c r="H10" s="14" t="n">
        <f aca="false">F10*G10</f>
        <v>17000</v>
      </c>
      <c r="I10" s="8" t="s">
        <v>82</v>
      </c>
      <c r="J10" s="8"/>
    </row>
    <row r="11" customFormat="false" ht="15" hidden="false" customHeight="false" outlineLevel="0" collapsed="false">
      <c r="A11" s="11" t="n">
        <v>8</v>
      </c>
      <c r="B11" s="4" t="s">
        <v>83</v>
      </c>
      <c r="C11" s="8" t="s">
        <v>84</v>
      </c>
      <c r="D11" s="8" t="s">
        <v>85</v>
      </c>
      <c r="E11" s="11" t="s">
        <v>65</v>
      </c>
      <c r="F11" s="12" t="n">
        <v>1</v>
      </c>
      <c r="G11" s="13" t="n">
        <v>8000</v>
      </c>
      <c r="H11" s="14" t="n">
        <f aca="false">F11*G11</f>
        <v>8000</v>
      </c>
      <c r="I11" s="8" t="s">
        <v>61</v>
      </c>
      <c r="J11" s="8"/>
    </row>
    <row r="12" customFormat="false" ht="23.85" hidden="false" customHeight="false" outlineLevel="0" collapsed="false">
      <c r="A12" s="11" t="n">
        <v>9</v>
      </c>
      <c r="B12" s="4" t="s">
        <v>86</v>
      </c>
      <c r="C12" s="8" t="s">
        <v>87</v>
      </c>
      <c r="D12" s="8" t="s">
        <v>88</v>
      </c>
      <c r="E12" s="11" t="s">
        <v>65</v>
      </c>
      <c r="F12" s="12" t="n">
        <v>1</v>
      </c>
      <c r="G12" s="13" t="n">
        <v>6000</v>
      </c>
      <c r="H12" s="14" t="n">
        <f aca="false">F12*G12</f>
        <v>6000</v>
      </c>
      <c r="I12" s="8" t="s">
        <v>89</v>
      </c>
      <c r="J12" s="8"/>
    </row>
    <row r="13" customFormat="false" ht="23.85" hidden="false" customHeight="false" outlineLevel="0" collapsed="false">
      <c r="A13" s="11" t="n">
        <v>10</v>
      </c>
      <c r="B13" s="4" t="s">
        <v>90</v>
      </c>
      <c r="C13" s="8" t="s">
        <v>91</v>
      </c>
      <c r="D13" s="8" t="s">
        <v>92</v>
      </c>
      <c r="E13" s="11" t="s">
        <v>55</v>
      </c>
      <c r="F13" s="12" t="n">
        <v>1</v>
      </c>
      <c r="G13" s="13" t="n">
        <v>40000</v>
      </c>
      <c r="H13" s="14" t="n">
        <f aca="false">F13*G13</f>
        <v>40000</v>
      </c>
      <c r="I13" s="8" t="s">
        <v>93</v>
      </c>
      <c r="J13" s="8" t="s">
        <v>94</v>
      </c>
    </row>
    <row r="14" customFormat="false" ht="23.85" hidden="false" customHeight="false" outlineLevel="0" collapsed="false">
      <c r="A14" s="11" t="n">
        <v>11</v>
      </c>
      <c r="B14" s="4" t="s">
        <v>95</v>
      </c>
      <c r="C14" s="8" t="s">
        <v>96</v>
      </c>
      <c r="D14" s="8" t="s">
        <v>97</v>
      </c>
      <c r="E14" s="11" t="s">
        <v>65</v>
      </c>
      <c r="F14" s="12" t="n">
        <v>1</v>
      </c>
      <c r="G14" s="13" t="n">
        <v>15000</v>
      </c>
      <c r="H14" s="14" t="n">
        <f aca="false">F14*G14</f>
        <v>15000</v>
      </c>
      <c r="I14" s="8" t="s">
        <v>61</v>
      </c>
      <c r="J14" s="8"/>
    </row>
    <row r="15" customFormat="false" ht="15" hidden="false" customHeight="false" outlineLevel="0" collapsed="false">
      <c r="A15" s="11" t="n">
        <v>12</v>
      </c>
      <c r="B15" s="4" t="s">
        <v>98</v>
      </c>
      <c r="C15" s="8" t="s">
        <v>99</v>
      </c>
      <c r="D15" s="8" t="s">
        <v>100</v>
      </c>
      <c r="E15" s="11" t="s">
        <v>65</v>
      </c>
      <c r="F15" s="12" t="n">
        <v>1</v>
      </c>
      <c r="G15" s="13" t="n">
        <v>8000</v>
      </c>
      <c r="H15" s="14" t="n">
        <f aca="false">F15*G15</f>
        <v>8000</v>
      </c>
      <c r="I15" s="8" t="s">
        <v>61</v>
      </c>
      <c r="J15" s="8"/>
    </row>
    <row r="16" customFormat="false" ht="15" hidden="false" customHeight="false" outlineLevel="0" collapsed="false">
      <c r="A16" s="15"/>
      <c r="B16" s="16" t="s">
        <v>101</v>
      </c>
      <c r="C16" s="15"/>
      <c r="D16" s="15"/>
      <c r="E16" s="15"/>
      <c r="F16" s="15"/>
      <c r="G16" s="15"/>
      <c r="H16" s="17" t="n">
        <f aca="false">H4+H5+H6+H7+H8+H9+H10+H11+H12+H13+H14+H15</f>
        <v>475000</v>
      </c>
      <c r="I16" s="15"/>
      <c r="J16" s="15"/>
    </row>
    <row r="17" customFormat="false" ht="15" hidden="false" customHeight="false" outlineLevel="0" collapsed="false">
      <c r="A17" s="18"/>
      <c r="B17" s="19" t="s">
        <v>102</v>
      </c>
      <c r="C17" s="18"/>
      <c r="D17" s="18"/>
      <c r="E17" s="18"/>
      <c r="F17" s="18"/>
      <c r="G17" s="18"/>
      <c r="H17" s="20" t="n">
        <f aca="false">ROUND(H16*0.1,-3)</f>
        <v>48000</v>
      </c>
      <c r="I17" s="18"/>
      <c r="J17" s="18"/>
    </row>
    <row r="18" customFormat="false" ht="15" hidden="false" customHeight="false" outlineLevel="0" collapsed="false">
      <c r="A18" s="15"/>
      <c r="B18" s="21" t="s">
        <v>103</v>
      </c>
      <c r="C18" s="15"/>
      <c r="D18" s="15"/>
      <c r="E18" s="15"/>
      <c r="F18" s="15"/>
      <c r="G18" s="15"/>
      <c r="H18" s="22" t="n">
        <f aca="false">H16+H17</f>
        <v>523000</v>
      </c>
      <c r="I18" s="15"/>
      <c r="J18" s="15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  <c r="J3" s="10" t="s">
        <v>51</v>
      </c>
    </row>
    <row r="4" customFormat="false" ht="23.85" hidden="false" customHeight="false" outlineLevel="0" collapsed="false">
      <c r="A4" s="11" t="n">
        <v>1</v>
      </c>
      <c r="B4" s="4" t="s">
        <v>106</v>
      </c>
      <c r="C4" s="8" t="s">
        <v>107</v>
      </c>
      <c r="D4" s="8" t="s">
        <v>108</v>
      </c>
      <c r="E4" s="11" t="s">
        <v>55</v>
      </c>
      <c r="F4" s="12" t="n">
        <v>2</v>
      </c>
      <c r="G4" s="13" t="n">
        <v>86000</v>
      </c>
      <c r="H4" s="14" t="n">
        <f aca="false">F4*G4</f>
        <v>172000</v>
      </c>
      <c r="I4" s="8" t="s">
        <v>109</v>
      </c>
      <c r="J4" s="8" t="s">
        <v>110</v>
      </c>
    </row>
    <row r="5" customFormat="false" ht="23.85" hidden="false" customHeight="false" outlineLevel="0" collapsed="false">
      <c r="A5" s="11" t="n">
        <v>2</v>
      </c>
      <c r="B5" s="4" t="s">
        <v>111</v>
      </c>
      <c r="C5" s="8"/>
      <c r="D5" s="8" t="s">
        <v>112</v>
      </c>
      <c r="E5" s="11" t="s">
        <v>55</v>
      </c>
      <c r="F5" s="12" t="n">
        <v>2</v>
      </c>
      <c r="G5" s="13" t="n">
        <v>5000</v>
      </c>
      <c r="H5" s="14" t="n">
        <f aca="false">F5*G5</f>
        <v>10000</v>
      </c>
      <c r="I5" s="8" t="s">
        <v>61</v>
      </c>
      <c r="J5" s="8"/>
    </row>
    <row r="6" customFormat="false" ht="15" hidden="false" customHeight="false" outlineLevel="0" collapsed="false">
      <c r="A6" s="11" t="n">
        <v>3</v>
      </c>
      <c r="B6" s="4" t="s">
        <v>62</v>
      </c>
      <c r="C6" s="8"/>
      <c r="D6" s="8" t="s">
        <v>64</v>
      </c>
      <c r="E6" s="11" t="s">
        <v>65</v>
      </c>
      <c r="F6" s="12" t="n">
        <v>2</v>
      </c>
      <c r="G6" s="13" t="n">
        <v>10000</v>
      </c>
      <c r="H6" s="14" t="n">
        <f aca="false">F6*G6</f>
        <v>20000</v>
      </c>
      <c r="I6" s="8" t="s">
        <v>61</v>
      </c>
      <c r="J6" s="8"/>
    </row>
    <row r="7" customFormat="false" ht="23.85" hidden="false" customHeight="false" outlineLevel="0" collapsed="false">
      <c r="A7" s="11" t="n">
        <v>4</v>
      </c>
      <c r="B7" s="4" t="s">
        <v>113</v>
      </c>
      <c r="C7" s="8" t="s">
        <v>114</v>
      </c>
      <c r="D7" s="8" t="s">
        <v>115</v>
      </c>
      <c r="E7" s="11" t="s">
        <v>65</v>
      </c>
      <c r="F7" s="12" t="n">
        <v>2</v>
      </c>
      <c r="G7" s="13" t="n">
        <v>30000</v>
      </c>
      <c r="H7" s="14" t="n">
        <f aca="false">F7*G7</f>
        <v>60000</v>
      </c>
      <c r="I7" s="8" t="s">
        <v>116</v>
      </c>
      <c r="J7" s="8" t="s">
        <v>117</v>
      </c>
    </row>
    <row r="8" customFormat="false" ht="35.05" hidden="false" customHeight="false" outlineLevel="0" collapsed="false">
      <c r="A8" s="11" t="n">
        <v>5</v>
      </c>
      <c r="B8" s="4" t="s">
        <v>118</v>
      </c>
      <c r="C8" s="8" t="s">
        <v>119</v>
      </c>
      <c r="D8" s="8" t="s">
        <v>120</v>
      </c>
      <c r="E8" s="11" t="s">
        <v>55</v>
      </c>
      <c r="F8" s="12" t="n">
        <v>1</v>
      </c>
      <c r="G8" s="13" t="n">
        <v>400000</v>
      </c>
      <c r="H8" s="14" t="n">
        <f aca="false">F8*G8</f>
        <v>400000</v>
      </c>
      <c r="I8" s="8" t="s">
        <v>121</v>
      </c>
      <c r="J8" s="8"/>
    </row>
    <row r="9" customFormat="false" ht="15" hidden="false" customHeight="false" outlineLevel="0" collapsed="false">
      <c r="A9" s="11" t="n">
        <v>6</v>
      </c>
      <c r="B9" s="4" t="s">
        <v>75</v>
      </c>
      <c r="C9" s="8" t="s">
        <v>122</v>
      </c>
      <c r="D9" s="8" t="s">
        <v>123</v>
      </c>
      <c r="E9" s="11" t="s">
        <v>55</v>
      </c>
      <c r="F9" s="12" t="n">
        <v>2</v>
      </c>
      <c r="G9" s="13" t="n">
        <v>45000</v>
      </c>
      <c r="H9" s="14" t="n">
        <f aca="false">F9*G9</f>
        <v>90000</v>
      </c>
      <c r="I9" s="8" t="s">
        <v>61</v>
      </c>
      <c r="J9" s="8"/>
    </row>
    <row r="10" customFormat="false" ht="15" hidden="false" customHeight="false" outlineLevel="0" collapsed="false">
      <c r="A10" s="11" t="n">
        <v>7</v>
      </c>
      <c r="B10" s="4" t="s">
        <v>79</v>
      </c>
      <c r="C10" s="8"/>
      <c r="D10" s="8" t="s">
        <v>124</v>
      </c>
      <c r="E10" s="11" t="s">
        <v>55</v>
      </c>
      <c r="F10" s="12" t="n">
        <v>1</v>
      </c>
      <c r="G10" s="13" t="n">
        <v>17000</v>
      </c>
      <c r="H10" s="14" t="n">
        <f aca="false">F10*G10</f>
        <v>17000</v>
      </c>
      <c r="I10" s="8" t="s">
        <v>82</v>
      </c>
      <c r="J10" s="8"/>
    </row>
    <row r="11" customFormat="false" ht="15" hidden="false" customHeight="false" outlineLevel="0" collapsed="false">
      <c r="A11" s="11" t="n">
        <v>8</v>
      </c>
      <c r="B11" s="4" t="s">
        <v>83</v>
      </c>
      <c r="C11" s="8" t="s">
        <v>125</v>
      </c>
      <c r="D11" s="8" t="s">
        <v>126</v>
      </c>
      <c r="E11" s="11" t="s">
        <v>65</v>
      </c>
      <c r="F11" s="12" t="n">
        <v>1</v>
      </c>
      <c r="G11" s="13" t="n">
        <v>15000</v>
      </c>
      <c r="H11" s="14" t="n">
        <f aca="false">F11*G11</f>
        <v>15000</v>
      </c>
      <c r="I11" s="8" t="s">
        <v>61</v>
      </c>
      <c r="J11" s="8"/>
    </row>
    <row r="12" customFormat="false" ht="15" hidden="false" customHeight="false" outlineLevel="0" collapsed="false">
      <c r="A12" s="11" t="n">
        <v>9</v>
      </c>
      <c r="B12" s="4" t="s">
        <v>127</v>
      </c>
      <c r="C12" s="8" t="s">
        <v>128</v>
      </c>
      <c r="D12" s="8" t="s">
        <v>129</v>
      </c>
      <c r="E12" s="11" t="s">
        <v>55</v>
      </c>
      <c r="F12" s="12" t="n">
        <v>1</v>
      </c>
      <c r="G12" s="13" t="n">
        <v>18000</v>
      </c>
      <c r="H12" s="14" t="n">
        <f aca="false">F12*G12</f>
        <v>18000</v>
      </c>
      <c r="I12" s="8" t="s">
        <v>130</v>
      </c>
      <c r="J12" s="8"/>
    </row>
    <row r="13" customFormat="false" ht="15" hidden="false" customHeight="false" outlineLevel="0" collapsed="false">
      <c r="A13" s="11" t="n">
        <v>10</v>
      </c>
      <c r="B13" s="4" t="s">
        <v>86</v>
      </c>
      <c r="C13" s="8"/>
      <c r="D13" s="8" t="s">
        <v>131</v>
      </c>
      <c r="E13" s="11" t="s">
        <v>65</v>
      </c>
      <c r="F13" s="12" t="n">
        <v>1</v>
      </c>
      <c r="G13" s="13" t="n">
        <v>8000</v>
      </c>
      <c r="H13" s="14" t="n">
        <f aca="false">F13*G13</f>
        <v>8000</v>
      </c>
      <c r="I13" s="8" t="s">
        <v>61</v>
      </c>
      <c r="J13" s="8"/>
    </row>
    <row r="14" customFormat="false" ht="23.85" hidden="false" customHeight="false" outlineLevel="0" collapsed="false">
      <c r="A14" s="11" t="n">
        <v>11</v>
      </c>
      <c r="B14" s="4" t="s">
        <v>132</v>
      </c>
      <c r="C14" s="8" t="s">
        <v>133</v>
      </c>
      <c r="D14" s="8" t="s">
        <v>134</v>
      </c>
      <c r="E14" s="11" t="s">
        <v>55</v>
      </c>
      <c r="F14" s="12" t="n">
        <v>1</v>
      </c>
      <c r="G14" s="13" t="n">
        <v>58000</v>
      </c>
      <c r="H14" s="14" t="n">
        <f aca="false">F14*G14</f>
        <v>58000</v>
      </c>
      <c r="I14" s="8" t="s">
        <v>135</v>
      </c>
      <c r="J14" s="8" t="s">
        <v>136</v>
      </c>
    </row>
    <row r="15" customFormat="false" ht="23.85" hidden="false" customHeight="false" outlineLevel="0" collapsed="false">
      <c r="A15" s="11" t="n">
        <v>12</v>
      </c>
      <c r="B15" s="4" t="s">
        <v>137</v>
      </c>
      <c r="C15" s="8"/>
      <c r="D15" s="8" t="s">
        <v>138</v>
      </c>
      <c r="E15" s="11" t="s">
        <v>65</v>
      </c>
      <c r="F15" s="12" t="n">
        <v>1</v>
      </c>
      <c r="G15" s="13" t="n">
        <v>15000</v>
      </c>
      <c r="H15" s="14" t="n">
        <f aca="false">F15*G15</f>
        <v>15000</v>
      </c>
      <c r="I15" s="8" t="s">
        <v>61</v>
      </c>
      <c r="J15" s="8"/>
    </row>
    <row r="16" customFormat="false" ht="15" hidden="false" customHeight="false" outlineLevel="0" collapsed="false">
      <c r="A16" s="11" t="n">
        <v>13</v>
      </c>
      <c r="B16" s="4" t="s">
        <v>98</v>
      </c>
      <c r="C16" s="8"/>
      <c r="D16" s="8" t="s">
        <v>100</v>
      </c>
      <c r="E16" s="11" t="s">
        <v>65</v>
      </c>
      <c r="F16" s="12" t="n">
        <v>2</v>
      </c>
      <c r="G16" s="13" t="n">
        <v>8000</v>
      </c>
      <c r="H16" s="14" t="n">
        <f aca="false">F16*G16</f>
        <v>16000</v>
      </c>
      <c r="I16" s="8" t="s">
        <v>61</v>
      </c>
      <c r="J16" s="8"/>
    </row>
    <row r="17" customFormat="false" ht="15" hidden="false" customHeight="false" outlineLevel="0" collapsed="false">
      <c r="A17" s="11" t="n">
        <v>14</v>
      </c>
      <c r="B17" s="4" t="s">
        <v>139</v>
      </c>
      <c r="C17" s="8" t="s">
        <v>140</v>
      </c>
      <c r="D17" s="8" t="s">
        <v>141</v>
      </c>
      <c r="E17" s="11" t="s">
        <v>55</v>
      </c>
      <c r="F17" s="12" t="n">
        <v>1</v>
      </c>
      <c r="G17" s="13" t="n">
        <v>20000</v>
      </c>
      <c r="H17" s="14" t="n">
        <f aca="false">F17*G17</f>
        <v>20000</v>
      </c>
      <c r="I17" s="8" t="s">
        <v>142</v>
      </c>
      <c r="J17" s="8"/>
    </row>
    <row r="18" customFormat="false" ht="15" hidden="false" customHeight="false" outlineLevel="0" collapsed="false">
      <c r="A18" s="15"/>
      <c r="B18" s="16" t="s">
        <v>101</v>
      </c>
      <c r="C18" s="15"/>
      <c r="D18" s="15"/>
      <c r="E18" s="15"/>
      <c r="F18" s="15"/>
      <c r="G18" s="15"/>
      <c r="H18" s="17" t="n">
        <f aca="false">H4+H5+H6+H7+H8+H9+H10+H11+H12+H13+H14+H15+H16+H17</f>
        <v>919000</v>
      </c>
      <c r="I18" s="15"/>
      <c r="J18" s="15"/>
    </row>
    <row r="19" customFormat="false" ht="15" hidden="false" customHeight="false" outlineLevel="0" collapsed="false">
      <c r="A19" s="18"/>
      <c r="B19" s="19" t="s">
        <v>102</v>
      </c>
      <c r="C19" s="18"/>
      <c r="D19" s="18"/>
      <c r="E19" s="18"/>
      <c r="F19" s="18"/>
      <c r="G19" s="18"/>
      <c r="H19" s="20" t="n">
        <f aca="false">ROUND(H18*0.1,-3)</f>
        <v>92000</v>
      </c>
      <c r="I19" s="18"/>
      <c r="J19" s="18"/>
    </row>
    <row r="20" customFormat="false" ht="15" hidden="false" customHeight="false" outlineLevel="0" collapsed="false">
      <c r="A20" s="15"/>
      <c r="B20" s="21" t="s">
        <v>103</v>
      </c>
      <c r="C20" s="15"/>
      <c r="D20" s="15"/>
      <c r="E20" s="15"/>
      <c r="F20" s="15"/>
      <c r="G20" s="15"/>
      <c r="H20" s="22" t="n">
        <f aca="false">H18+H19</f>
        <v>1011000</v>
      </c>
      <c r="I20" s="15"/>
      <c r="J20" s="15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9" t="s">
        <v>143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  <c r="J3" s="10" t="s">
        <v>51</v>
      </c>
    </row>
    <row r="4" customFormat="false" ht="15" hidden="false" customHeight="false" outlineLevel="0" collapsed="false">
      <c r="A4" s="23"/>
      <c r="B4" s="24" t="s">
        <v>145</v>
      </c>
      <c r="C4" s="23"/>
      <c r="D4" s="23"/>
      <c r="E4" s="23"/>
      <c r="F4" s="23"/>
      <c r="G4" s="23"/>
      <c r="H4" s="23"/>
      <c r="I4" s="23"/>
      <c r="J4" s="23"/>
    </row>
    <row r="5" customFormat="false" ht="46.25" hidden="false" customHeight="false" outlineLevel="0" collapsed="false">
      <c r="A5" s="11" t="n">
        <v>1</v>
      </c>
      <c r="B5" s="4" t="s">
        <v>146</v>
      </c>
      <c r="C5" s="8" t="s">
        <v>147</v>
      </c>
      <c r="D5" s="8" t="s">
        <v>148</v>
      </c>
      <c r="E5" s="11" t="s">
        <v>55</v>
      </c>
      <c r="F5" s="12" t="n">
        <v>2</v>
      </c>
      <c r="G5" s="13" t="n">
        <v>110000</v>
      </c>
      <c r="H5" s="14" t="n">
        <f aca="false">F5*G5</f>
        <v>220000</v>
      </c>
      <c r="I5" s="8" t="s">
        <v>149</v>
      </c>
      <c r="J5" s="8" t="s">
        <v>150</v>
      </c>
    </row>
    <row r="6" customFormat="false" ht="15" hidden="false" customHeight="false" outlineLevel="0" collapsed="false">
      <c r="A6" s="11" t="n">
        <v>2</v>
      </c>
      <c r="B6" s="4" t="s">
        <v>151</v>
      </c>
      <c r="C6" s="8" t="s">
        <v>152</v>
      </c>
      <c r="D6" s="8" t="s">
        <v>153</v>
      </c>
      <c r="E6" s="11" t="s">
        <v>55</v>
      </c>
      <c r="F6" s="12" t="n">
        <v>2</v>
      </c>
      <c r="G6" s="13" t="n">
        <v>30000</v>
      </c>
      <c r="H6" s="14" t="n">
        <f aca="false">F6*G6</f>
        <v>60000</v>
      </c>
      <c r="I6" s="8" t="s">
        <v>154</v>
      </c>
      <c r="J6" s="8"/>
    </row>
    <row r="7" customFormat="false" ht="23.85" hidden="false" customHeight="false" outlineLevel="0" collapsed="false">
      <c r="A7" s="11" t="n">
        <v>3</v>
      </c>
      <c r="B7" s="4" t="s">
        <v>155</v>
      </c>
      <c r="C7" s="8" t="s">
        <v>156</v>
      </c>
      <c r="D7" s="8" t="s">
        <v>157</v>
      </c>
      <c r="E7" s="11" t="s">
        <v>55</v>
      </c>
      <c r="F7" s="12" t="n">
        <v>2</v>
      </c>
      <c r="G7" s="13" t="n">
        <v>15000</v>
      </c>
      <c r="H7" s="14" t="n">
        <f aca="false">F7*G7</f>
        <v>30000</v>
      </c>
      <c r="I7" s="8" t="s">
        <v>158</v>
      </c>
      <c r="J7" s="8"/>
    </row>
    <row r="8" customFormat="false" ht="35.05" hidden="false" customHeight="false" outlineLevel="0" collapsed="false">
      <c r="A8" s="11" t="n">
        <v>4</v>
      </c>
      <c r="B8" s="4" t="s">
        <v>159</v>
      </c>
      <c r="C8" s="8" t="s">
        <v>160</v>
      </c>
      <c r="D8" s="8" t="s">
        <v>161</v>
      </c>
      <c r="E8" s="11" t="s">
        <v>65</v>
      </c>
      <c r="F8" s="12" t="n">
        <v>1</v>
      </c>
      <c r="G8" s="13" t="n">
        <v>115000</v>
      </c>
      <c r="H8" s="14" t="n">
        <f aca="false">F8*G8</f>
        <v>115000</v>
      </c>
      <c r="I8" s="8" t="s">
        <v>61</v>
      </c>
      <c r="J8" s="8" t="s">
        <v>162</v>
      </c>
    </row>
    <row r="9" customFormat="false" ht="23.85" hidden="false" customHeight="false" outlineLevel="0" collapsed="false">
      <c r="A9" s="11" t="n">
        <v>5</v>
      </c>
      <c r="B9" s="4" t="s">
        <v>163</v>
      </c>
      <c r="C9" s="8" t="s">
        <v>164</v>
      </c>
      <c r="D9" s="8" t="s">
        <v>165</v>
      </c>
      <c r="E9" s="11" t="s">
        <v>55</v>
      </c>
      <c r="F9" s="12" t="n">
        <v>1</v>
      </c>
      <c r="G9" s="13" t="n">
        <v>25000</v>
      </c>
      <c r="H9" s="14" t="n">
        <f aca="false">F9*G9</f>
        <v>25000</v>
      </c>
      <c r="I9" s="8" t="s">
        <v>166</v>
      </c>
      <c r="J9" s="8"/>
    </row>
    <row r="10" customFormat="false" ht="15" hidden="false" customHeight="false" outlineLevel="0" collapsed="false">
      <c r="A10" s="11" t="n">
        <v>6</v>
      </c>
      <c r="B10" s="4" t="s">
        <v>167</v>
      </c>
      <c r="C10" s="8" t="s">
        <v>168</v>
      </c>
      <c r="D10" s="8" t="s">
        <v>169</v>
      </c>
      <c r="E10" s="11" t="s">
        <v>55</v>
      </c>
      <c r="F10" s="12" t="n">
        <v>1</v>
      </c>
      <c r="G10" s="13" t="n">
        <v>18000</v>
      </c>
      <c r="H10" s="14" t="n">
        <f aca="false">F10*G10</f>
        <v>18000</v>
      </c>
      <c r="I10" s="8" t="s">
        <v>61</v>
      </c>
      <c r="J10" s="8"/>
    </row>
    <row r="11" customFormat="false" ht="23.85" hidden="false" customHeight="false" outlineLevel="0" collapsed="false">
      <c r="A11" s="11" t="n">
        <v>7</v>
      </c>
      <c r="B11" s="4" t="s">
        <v>170</v>
      </c>
      <c r="C11" s="8" t="s">
        <v>171</v>
      </c>
      <c r="D11" s="8" t="s">
        <v>172</v>
      </c>
      <c r="E11" s="11" t="s">
        <v>65</v>
      </c>
      <c r="F11" s="12" t="n">
        <v>1</v>
      </c>
      <c r="G11" s="13" t="n">
        <v>70000</v>
      </c>
      <c r="H11" s="14" t="n">
        <f aca="false">F11*G11</f>
        <v>70000</v>
      </c>
      <c r="I11" s="8" t="s">
        <v>173</v>
      </c>
      <c r="J11" s="8"/>
    </row>
    <row r="12" customFormat="false" ht="23.85" hidden="false" customHeight="false" outlineLevel="0" collapsed="false">
      <c r="A12" s="11" t="n">
        <v>8</v>
      </c>
      <c r="B12" s="4" t="s">
        <v>174</v>
      </c>
      <c r="C12" s="8" t="s">
        <v>175</v>
      </c>
      <c r="D12" s="8" t="s">
        <v>176</v>
      </c>
      <c r="E12" s="11" t="s">
        <v>65</v>
      </c>
      <c r="F12" s="12" t="n">
        <v>1</v>
      </c>
      <c r="G12" s="13" t="n">
        <v>30000</v>
      </c>
      <c r="H12" s="14" t="n">
        <f aca="false">F12*G12</f>
        <v>30000</v>
      </c>
      <c r="I12" s="8" t="s">
        <v>61</v>
      </c>
      <c r="J12" s="8"/>
    </row>
    <row r="13" customFormat="false" ht="23.85" hidden="false" customHeight="false" outlineLevel="0" collapsed="false">
      <c r="A13" s="11" t="n">
        <v>9</v>
      </c>
      <c r="B13" s="4" t="s">
        <v>177</v>
      </c>
      <c r="C13" s="8"/>
      <c r="D13" s="8"/>
      <c r="E13" s="11" t="s">
        <v>65</v>
      </c>
      <c r="F13" s="12" t="n">
        <v>1</v>
      </c>
      <c r="G13" s="13" t="n">
        <v>20000</v>
      </c>
      <c r="H13" s="14" t="n">
        <f aca="false">F13*G13</f>
        <v>20000</v>
      </c>
      <c r="I13" s="8" t="s">
        <v>61</v>
      </c>
      <c r="J13" s="8"/>
    </row>
    <row r="14" customFormat="false" ht="15" hidden="false" customHeight="false" outlineLevel="0" collapsed="false">
      <c r="A14" s="11" t="n">
        <v>10</v>
      </c>
      <c r="B14" s="4" t="s">
        <v>178</v>
      </c>
      <c r="C14" s="8" t="s">
        <v>179</v>
      </c>
      <c r="D14" s="8" t="s">
        <v>180</v>
      </c>
      <c r="E14" s="11" t="s">
        <v>181</v>
      </c>
      <c r="F14" s="12" t="n">
        <v>1</v>
      </c>
      <c r="G14" s="13" t="n">
        <v>30000</v>
      </c>
      <c r="H14" s="14" t="n">
        <f aca="false">F14*G14</f>
        <v>30000</v>
      </c>
      <c r="I14" s="8" t="s">
        <v>61</v>
      </c>
      <c r="J14" s="8" t="s">
        <v>182</v>
      </c>
    </row>
    <row r="15" customFormat="false" ht="15" hidden="false" customHeight="false" outlineLevel="0" collapsed="false">
      <c r="A15" s="23"/>
      <c r="B15" s="24" t="s">
        <v>183</v>
      </c>
      <c r="C15" s="23"/>
      <c r="D15" s="23"/>
      <c r="E15" s="23"/>
      <c r="F15" s="23"/>
      <c r="G15" s="23"/>
      <c r="H15" s="23"/>
      <c r="I15" s="23"/>
      <c r="J15" s="23"/>
    </row>
    <row r="16" customFormat="false" ht="23.85" hidden="false" customHeight="false" outlineLevel="0" collapsed="false">
      <c r="A16" s="11" t="n">
        <v>11</v>
      </c>
      <c r="B16" s="4" t="s">
        <v>184</v>
      </c>
      <c r="C16" s="8" t="s">
        <v>185</v>
      </c>
      <c r="D16" s="8" t="s">
        <v>108</v>
      </c>
      <c r="E16" s="11" t="s">
        <v>55</v>
      </c>
      <c r="F16" s="12" t="n">
        <v>2</v>
      </c>
      <c r="G16" s="13" t="n">
        <v>86000</v>
      </c>
      <c r="H16" s="14" t="n">
        <f aca="false">F16*G16</f>
        <v>172000</v>
      </c>
      <c r="I16" s="8" t="s">
        <v>186</v>
      </c>
      <c r="J16" s="8"/>
    </row>
    <row r="17" customFormat="false" ht="23.85" hidden="false" customHeight="false" outlineLevel="0" collapsed="false">
      <c r="A17" s="11" t="n">
        <v>12</v>
      </c>
      <c r="B17" s="4" t="s">
        <v>187</v>
      </c>
      <c r="C17" s="8"/>
      <c r="D17" s="8"/>
      <c r="E17" s="11" t="s">
        <v>65</v>
      </c>
      <c r="F17" s="12" t="n">
        <v>2</v>
      </c>
      <c r="G17" s="13" t="n">
        <v>15000</v>
      </c>
      <c r="H17" s="14" t="n">
        <f aca="false">F17*G17</f>
        <v>30000</v>
      </c>
      <c r="I17" s="8" t="s">
        <v>61</v>
      </c>
      <c r="J17" s="8"/>
    </row>
    <row r="18" customFormat="false" ht="23.85" hidden="false" customHeight="false" outlineLevel="0" collapsed="false">
      <c r="A18" s="11" t="n">
        <v>13</v>
      </c>
      <c r="B18" s="4" t="s">
        <v>188</v>
      </c>
      <c r="C18" s="8" t="s">
        <v>189</v>
      </c>
      <c r="D18" s="8" t="s">
        <v>190</v>
      </c>
      <c r="E18" s="11" t="s">
        <v>65</v>
      </c>
      <c r="F18" s="12" t="n">
        <v>2</v>
      </c>
      <c r="G18" s="13" t="n">
        <v>30000</v>
      </c>
      <c r="H18" s="14" t="n">
        <f aca="false">F18*G18</f>
        <v>60000</v>
      </c>
      <c r="I18" s="8" t="s">
        <v>116</v>
      </c>
      <c r="J18" s="8"/>
    </row>
    <row r="19" customFormat="false" ht="15" hidden="false" customHeight="false" outlineLevel="0" collapsed="false">
      <c r="A19" s="23"/>
      <c r="B19" s="24" t="s">
        <v>191</v>
      </c>
      <c r="C19" s="23"/>
      <c r="D19" s="23"/>
      <c r="E19" s="23"/>
      <c r="F19" s="23"/>
      <c r="G19" s="23"/>
      <c r="H19" s="23"/>
      <c r="I19" s="23"/>
      <c r="J19" s="23"/>
    </row>
    <row r="20" customFormat="false" ht="35.05" hidden="false" customHeight="false" outlineLevel="0" collapsed="false">
      <c r="A20" s="11" t="n">
        <v>14</v>
      </c>
      <c r="B20" s="4" t="s">
        <v>192</v>
      </c>
      <c r="C20" s="8" t="s">
        <v>193</v>
      </c>
      <c r="D20" s="8" t="s">
        <v>194</v>
      </c>
      <c r="E20" s="11" t="s">
        <v>55</v>
      </c>
      <c r="F20" s="12" t="n">
        <v>1</v>
      </c>
      <c r="G20" s="13" t="n">
        <v>450000</v>
      </c>
      <c r="H20" s="14" t="n">
        <f aca="false">F20*G20</f>
        <v>450000</v>
      </c>
      <c r="I20" s="8" t="s">
        <v>195</v>
      </c>
      <c r="J20" s="8"/>
    </row>
    <row r="21" customFormat="false" ht="15" hidden="false" customHeight="false" outlineLevel="0" collapsed="false">
      <c r="A21" s="11" t="n">
        <v>15</v>
      </c>
      <c r="B21" s="4" t="s">
        <v>75</v>
      </c>
      <c r="C21" s="8"/>
      <c r="D21" s="8" t="s">
        <v>123</v>
      </c>
      <c r="E21" s="11" t="s">
        <v>55</v>
      </c>
      <c r="F21" s="12" t="n">
        <v>2</v>
      </c>
      <c r="G21" s="13" t="n">
        <v>45000</v>
      </c>
      <c r="H21" s="14" t="n">
        <f aca="false">F21*G21</f>
        <v>90000</v>
      </c>
      <c r="I21" s="8" t="s">
        <v>61</v>
      </c>
      <c r="J21" s="8"/>
    </row>
    <row r="22" customFormat="false" ht="15" hidden="false" customHeight="false" outlineLevel="0" collapsed="false">
      <c r="A22" s="11" t="n">
        <v>16</v>
      </c>
      <c r="B22" s="4" t="s">
        <v>79</v>
      </c>
      <c r="C22" s="8"/>
      <c r="D22" s="8" t="s">
        <v>124</v>
      </c>
      <c r="E22" s="11" t="s">
        <v>55</v>
      </c>
      <c r="F22" s="12" t="n">
        <v>1</v>
      </c>
      <c r="G22" s="13" t="n">
        <v>17000</v>
      </c>
      <c r="H22" s="14" t="n">
        <f aca="false">F22*G22</f>
        <v>17000</v>
      </c>
      <c r="I22" s="8" t="s">
        <v>82</v>
      </c>
      <c r="J22" s="8"/>
    </row>
    <row r="23" customFormat="false" ht="15" hidden="false" customHeight="false" outlineLevel="0" collapsed="false">
      <c r="A23" s="11" t="n">
        <v>17</v>
      </c>
      <c r="B23" s="4" t="s">
        <v>83</v>
      </c>
      <c r="C23" s="8"/>
      <c r="D23" s="8" t="s">
        <v>196</v>
      </c>
      <c r="E23" s="11" t="s">
        <v>65</v>
      </c>
      <c r="F23" s="12" t="n">
        <v>1</v>
      </c>
      <c r="G23" s="13" t="n">
        <v>15000</v>
      </c>
      <c r="H23" s="14" t="n">
        <f aca="false">F23*G23</f>
        <v>15000</v>
      </c>
      <c r="I23" s="8" t="s">
        <v>61</v>
      </c>
      <c r="J23" s="8"/>
    </row>
    <row r="24" customFormat="false" ht="15" hidden="false" customHeight="false" outlineLevel="0" collapsed="false">
      <c r="A24" s="11" t="n">
        <v>18</v>
      </c>
      <c r="B24" s="4" t="s">
        <v>127</v>
      </c>
      <c r="C24" s="8" t="s">
        <v>197</v>
      </c>
      <c r="D24" s="8" t="s">
        <v>198</v>
      </c>
      <c r="E24" s="11" t="s">
        <v>55</v>
      </c>
      <c r="F24" s="12" t="n">
        <v>1</v>
      </c>
      <c r="G24" s="13" t="n">
        <v>18000</v>
      </c>
      <c r="H24" s="14" t="n">
        <f aca="false">F24*G24</f>
        <v>18000</v>
      </c>
      <c r="I24" s="8" t="s">
        <v>130</v>
      </c>
      <c r="J24" s="8"/>
    </row>
    <row r="25" customFormat="false" ht="15" hidden="false" customHeight="false" outlineLevel="0" collapsed="false">
      <c r="A25" s="23"/>
      <c r="B25" s="24" t="s">
        <v>199</v>
      </c>
      <c r="C25" s="23"/>
      <c r="D25" s="23"/>
      <c r="E25" s="23"/>
      <c r="F25" s="23"/>
      <c r="G25" s="23"/>
      <c r="H25" s="23"/>
      <c r="I25" s="23"/>
      <c r="J25" s="23"/>
    </row>
    <row r="26" customFormat="false" ht="23.85" hidden="false" customHeight="false" outlineLevel="0" collapsed="false">
      <c r="A26" s="11" t="n">
        <v>19</v>
      </c>
      <c r="B26" s="4" t="s">
        <v>200</v>
      </c>
      <c r="C26" s="8"/>
      <c r="D26" s="8" t="s">
        <v>201</v>
      </c>
      <c r="E26" s="11" t="s">
        <v>65</v>
      </c>
      <c r="F26" s="12" t="n">
        <v>1</v>
      </c>
      <c r="G26" s="13" t="n">
        <v>10000</v>
      </c>
      <c r="H26" s="14" t="n">
        <f aca="false">F26*G26</f>
        <v>10000</v>
      </c>
      <c r="I26" s="8" t="s">
        <v>61</v>
      </c>
      <c r="J26" s="8"/>
    </row>
    <row r="27" customFormat="false" ht="23.85" hidden="false" customHeight="false" outlineLevel="0" collapsed="false">
      <c r="A27" s="11" t="n">
        <v>20</v>
      </c>
      <c r="B27" s="4" t="s">
        <v>132</v>
      </c>
      <c r="C27" s="8" t="s">
        <v>202</v>
      </c>
      <c r="D27" s="8" t="s">
        <v>134</v>
      </c>
      <c r="E27" s="11" t="s">
        <v>55</v>
      </c>
      <c r="F27" s="12" t="n">
        <v>1</v>
      </c>
      <c r="G27" s="13" t="n">
        <v>58000</v>
      </c>
      <c r="H27" s="14" t="n">
        <f aca="false">F27*G27</f>
        <v>58000</v>
      </c>
      <c r="I27" s="8" t="s">
        <v>135</v>
      </c>
      <c r="J27" s="8"/>
    </row>
    <row r="28" customFormat="false" ht="15" hidden="false" customHeight="false" outlineLevel="0" collapsed="false">
      <c r="A28" s="11" t="n">
        <v>21</v>
      </c>
      <c r="B28" s="4" t="s">
        <v>137</v>
      </c>
      <c r="C28" s="8"/>
      <c r="D28" s="8" t="s">
        <v>203</v>
      </c>
      <c r="E28" s="11" t="s">
        <v>65</v>
      </c>
      <c r="F28" s="12" t="n">
        <v>1</v>
      </c>
      <c r="G28" s="13" t="n">
        <v>20000</v>
      </c>
      <c r="H28" s="14" t="n">
        <f aca="false">F28*G28</f>
        <v>20000</v>
      </c>
      <c r="I28" s="8" t="s">
        <v>61</v>
      </c>
      <c r="J28" s="8"/>
    </row>
    <row r="29" customFormat="false" ht="15" hidden="false" customHeight="false" outlineLevel="0" collapsed="false">
      <c r="A29" s="11" t="n">
        <v>22</v>
      </c>
      <c r="B29" s="4" t="s">
        <v>98</v>
      </c>
      <c r="C29" s="8"/>
      <c r="D29" s="8" t="s">
        <v>204</v>
      </c>
      <c r="E29" s="11" t="s">
        <v>65</v>
      </c>
      <c r="F29" s="12" t="n">
        <v>3</v>
      </c>
      <c r="G29" s="13" t="n">
        <v>8000</v>
      </c>
      <c r="H29" s="14" t="n">
        <f aca="false">F29*G29</f>
        <v>24000</v>
      </c>
      <c r="I29" s="8" t="s">
        <v>61</v>
      </c>
      <c r="J29" s="8"/>
    </row>
    <row r="30" customFormat="false" ht="15" hidden="false" customHeight="false" outlineLevel="0" collapsed="false">
      <c r="A30" s="11" t="n">
        <v>23</v>
      </c>
      <c r="B30" s="4" t="s">
        <v>139</v>
      </c>
      <c r="C30" s="8"/>
      <c r="D30" s="8" t="s">
        <v>141</v>
      </c>
      <c r="E30" s="11" t="s">
        <v>55</v>
      </c>
      <c r="F30" s="12" t="n">
        <v>1</v>
      </c>
      <c r="G30" s="13" t="n">
        <v>20000</v>
      </c>
      <c r="H30" s="14" t="n">
        <f aca="false">F30*G30</f>
        <v>20000</v>
      </c>
      <c r="I30" s="8" t="s">
        <v>61</v>
      </c>
      <c r="J30" s="8"/>
    </row>
    <row r="31" customFormat="false" ht="15" hidden="false" customHeight="false" outlineLevel="0" collapsed="false">
      <c r="A31" s="15"/>
      <c r="B31" s="16" t="s">
        <v>101</v>
      </c>
      <c r="C31" s="15"/>
      <c r="D31" s="15"/>
      <c r="E31" s="15"/>
      <c r="F31" s="15"/>
      <c r="G31" s="15"/>
      <c r="H31" s="17" t="n">
        <f aca="false">H5+H6+H7+H8+H9+H10+H11+H12+H13+H14+H16+H17+H18+H20+H21+H22+H23+H24+H26+H27+H28+H29+H30</f>
        <v>1602000</v>
      </c>
      <c r="I31" s="15"/>
      <c r="J31" s="15"/>
    </row>
    <row r="32" customFormat="false" ht="15" hidden="false" customHeight="false" outlineLevel="0" collapsed="false">
      <c r="A32" s="18"/>
      <c r="B32" s="19" t="s">
        <v>102</v>
      </c>
      <c r="C32" s="18"/>
      <c r="D32" s="18"/>
      <c r="E32" s="18"/>
      <c r="F32" s="18"/>
      <c r="G32" s="18"/>
      <c r="H32" s="20" t="n">
        <f aca="false">ROUND(H31*0.1,-3)</f>
        <v>160000</v>
      </c>
      <c r="I32" s="18"/>
      <c r="J32" s="18"/>
    </row>
    <row r="33" customFormat="false" ht="15" hidden="false" customHeight="false" outlineLevel="0" collapsed="false">
      <c r="A33" s="15"/>
      <c r="B33" s="21" t="s">
        <v>103</v>
      </c>
      <c r="C33" s="15"/>
      <c r="D33" s="15"/>
      <c r="E33" s="15"/>
      <c r="F33" s="15"/>
      <c r="G33" s="15"/>
      <c r="H33" s="22" t="n">
        <f aca="false">H31+H32</f>
        <v>1762000</v>
      </c>
      <c r="I33" s="15"/>
      <c r="J33" s="15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9" t="s">
        <v>205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206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  <c r="J3" s="10" t="s">
        <v>51</v>
      </c>
    </row>
    <row r="4" customFormat="false" ht="15" hidden="false" customHeight="false" outlineLevel="0" collapsed="false">
      <c r="A4" s="23"/>
      <c r="B4" s="24" t="s">
        <v>207</v>
      </c>
      <c r="C4" s="23"/>
      <c r="D4" s="23"/>
      <c r="E4" s="23"/>
      <c r="F4" s="23"/>
      <c r="G4" s="23"/>
      <c r="H4" s="23"/>
      <c r="I4" s="23"/>
      <c r="J4" s="23"/>
    </row>
    <row r="5" customFormat="false" ht="35.05" hidden="false" customHeight="false" outlineLevel="0" collapsed="false">
      <c r="A5" s="11" t="n">
        <v>1</v>
      </c>
      <c r="B5" s="4" t="s">
        <v>208</v>
      </c>
      <c r="C5" s="8" t="s">
        <v>209</v>
      </c>
      <c r="D5" s="8" t="s">
        <v>210</v>
      </c>
      <c r="E5" s="11" t="s">
        <v>211</v>
      </c>
      <c r="F5" s="12" t="n">
        <v>1</v>
      </c>
      <c r="G5" s="13" t="n">
        <v>50400</v>
      </c>
      <c r="H5" s="14" t="n">
        <f aca="false">F5*G5</f>
        <v>50400</v>
      </c>
      <c r="I5" s="8" t="s">
        <v>212</v>
      </c>
      <c r="J5" s="8" t="s">
        <v>213</v>
      </c>
    </row>
    <row r="6" customFormat="false" ht="15" hidden="false" customHeight="false" outlineLevel="0" collapsed="false">
      <c r="A6" s="11" t="n">
        <v>2</v>
      </c>
      <c r="B6" s="4" t="s">
        <v>214</v>
      </c>
      <c r="C6" s="8"/>
      <c r="D6" s="8"/>
      <c r="E6" s="11" t="s">
        <v>215</v>
      </c>
      <c r="F6" s="12" t="n">
        <v>1</v>
      </c>
      <c r="G6" s="13" t="n">
        <v>8000</v>
      </c>
      <c r="H6" s="14" t="n">
        <f aca="false">F6*G6</f>
        <v>8000</v>
      </c>
      <c r="I6" s="8" t="s">
        <v>61</v>
      </c>
      <c r="J6" s="8"/>
    </row>
    <row r="7" customFormat="false" ht="23.85" hidden="false" customHeight="false" outlineLevel="0" collapsed="false">
      <c r="A7" s="11" t="n">
        <v>3</v>
      </c>
      <c r="B7" s="4" t="s">
        <v>216</v>
      </c>
      <c r="C7" s="8"/>
      <c r="D7" s="8" t="s">
        <v>217</v>
      </c>
      <c r="E7" s="11" t="s">
        <v>218</v>
      </c>
      <c r="F7" s="12" t="n">
        <v>1</v>
      </c>
      <c r="G7" s="13" t="n">
        <v>8400</v>
      </c>
      <c r="H7" s="14" t="n">
        <f aca="false">F7*G7</f>
        <v>8400</v>
      </c>
      <c r="I7" s="8" t="s">
        <v>219</v>
      </c>
      <c r="J7" s="8" t="s">
        <v>220</v>
      </c>
    </row>
    <row r="8" customFormat="false" ht="15" hidden="false" customHeight="false" outlineLevel="0" collapsed="false">
      <c r="A8" s="23"/>
      <c r="B8" s="24" t="s">
        <v>221</v>
      </c>
      <c r="C8" s="23"/>
      <c r="D8" s="23"/>
      <c r="E8" s="23"/>
      <c r="F8" s="23"/>
      <c r="G8" s="23"/>
      <c r="H8" s="23"/>
      <c r="I8" s="23"/>
      <c r="J8" s="23"/>
    </row>
    <row r="9" customFormat="false" ht="23.85" hidden="false" customHeight="false" outlineLevel="0" collapsed="false">
      <c r="A9" s="11" t="n">
        <v>4</v>
      </c>
      <c r="B9" s="4" t="s">
        <v>222</v>
      </c>
      <c r="C9" s="8" t="s">
        <v>223</v>
      </c>
      <c r="D9" s="8" t="s">
        <v>224</v>
      </c>
      <c r="E9" s="11" t="s">
        <v>65</v>
      </c>
      <c r="F9" s="12" t="n">
        <v>1</v>
      </c>
      <c r="G9" s="13" t="n">
        <v>30000</v>
      </c>
      <c r="H9" s="14" t="n">
        <f aca="false">F9*G9</f>
        <v>30000</v>
      </c>
      <c r="I9" s="8" t="s">
        <v>61</v>
      </c>
      <c r="J9" s="8" t="s">
        <v>225</v>
      </c>
    </row>
    <row r="10" customFormat="false" ht="23.85" hidden="false" customHeight="false" outlineLevel="0" collapsed="false">
      <c r="A10" s="11" t="n">
        <v>5</v>
      </c>
      <c r="B10" s="4" t="s">
        <v>226</v>
      </c>
      <c r="C10" s="8" t="s">
        <v>227</v>
      </c>
      <c r="D10" s="8" t="s">
        <v>228</v>
      </c>
      <c r="E10" s="11" t="s">
        <v>55</v>
      </c>
      <c r="F10" s="12" t="n">
        <v>1</v>
      </c>
      <c r="G10" s="13" t="n">
        <v>425000</v>
      </c>
      <c r="H10" s="14" t="n">
        <f aca="false">F10*G10</f>
        <v>425000</v>
      </c>
      <c r="I10" s="8" t="s">
        <v>229</v>
      </c>
      <c r="J10" s="8" t="s">
        <v>230</v>
      </c>
    </row>
    <row r="11" customFormat="false" ht="23.85" hidden="false" customHeight="false" outlineLevel="0" collapsed="false">
      <c r="A11" s="11" t="n">
        <v>6</v>
      </c>
      <c r="B11" s="4" t="s">
        <v>231</v>
      </c>
      <c r="C11" s="8" t="s">
        <v>232</v>
      </c>
      <c r="D11" s="8" t="s">
        <v>233</v>
      </c>
      <c r="E11" s="11" t="s">
        <v>55</v>
      </c>
      <c r="F11" s="12" t="n">
        <v>1</v>
      </c>
      <c r="G11" s="13" t="n">
        <v>550000</v>
      </c>
      <c r="H11" s="14" t="n">
        <f aca="false">F11*G11</f>
        <v>550000</v>
      </c>
      <c r="I11" s="8" t="s">
        <v>234</v>
      </c>
      <c r="J11" s="8" t="s">
        <v>235</v>
      </c>
    </row>
    <row r="12" customFormat="false" ht="15" hidden="false" customHeight="false" outlineLevel="0" collapsed="false">
      <c r="A12" s="11" t="n">
        <v>7</v>
      </c>
      <c r="B12" s="4" t="s">
        <v>236</v>
      </c>
      <c r="C12" s="8" t="s">
        <v>237</v>
      </c>
      <c r="D12" s="8" t="s">
        <v>238</v>
      </c>
      <c r="E12" s="11" t="s">
        <v>55</v>
      </c>
      <c r="F12" s="12" t="n">
        <v>2</v>
      </c>
      <c r="G12" s="13" t="n">
        <v>160000</v>
      </c>
      <c r="H12" s="14" t="n">
        <f aca="false">F12*G12</f>
        <v>320000</v>
      </c>
      <c r="I12" s="8" t="s">
        <v>239</v>
      </c>
      <c r="J12" s="8" t="s">
        <v>240</v>
      </c>
    </row>
    <row r="13" customFormat="false" ht="23.85" hidden="false" customHeight="false" outlineLevel="0" collapsed="false">
      <c r="A13" s="11" t="n">
        <v>8</v>
      </c>
      <c r="B13" s="4" t="s">
        <v>241</v>
      </c>
      <c r="C13" s="8" t="s">
        <v>242</v>
      </c>
      <c r="D13" s="8" t="s">
        <v>243</v>
      </c>
      <c r="E13" s="11" t="s">
        <v>55</v>
      </c>
      <c r="F13" s="12" t="n">
        <v>1</v>
      </c>
      <c r="G13" s="13" t="n">
        <v>49000</v>
      </c>
      <c r="H13" s="14" t="n">
        <f aca="false">F13*G13</f>
        <v>49000</v>
      </c>
      <c r="I13" s="8" t="s">
        <v>244</v>
      </c>
      <c r="J13" s="8"/>
    </row>
    <row r="14" customFormat="false" ht="15" hidden="false" customHeight="false" outlineLevel="0" collapsed="false">
      <c r="A14" s="11" t="n">
        <v>9</v>
      </c>
      <c r="B14" s="4" t="s">
        <v>245</v>
      </c>
      <c r="C14" s="8" t="s">
        <v>246</v>
      </c>
      <c r="D14" s="8" t="s">
        <v>247</v>
      </c>
      <c r="E14" s="11" t="s">
        <v>65</v>
      </c>
      <c r="F14" s="12" t="n">
        <v>1</v>
      </c>
      <c r="G14" s="13" t="n">
        <v>170000</v>
      </c>
      <c r="H14" s="14" t="n">
        <f aca="false">F14*G14</f>
        <v>170000</v>
      </c>
      <c r="I14" s="8" t="s">
        <v>61</v>
      </c>
      <c r="J14" s="8"/>
    </row>
    <row r="15" customFormat="false" ht="15" hidden="false" customHeight="false" outlineLevel="0" collapsed="false">
      <c r="A15" s="11" t="n">
        <v>10</v>
      </c>
      <c r="B15" s="4" t="s">
        <v>248</v>
      </c>
      <c r="C15" s="8" t="s">
        <v>249</v>
      </c>
      <c r="D15" s="8" t="s">
        <v>250</v>
      </c>
      <c r="E15" s="11" t="s">
        <v>65</v>
      </c>
      <c r="F15" s="12" t="n">
        <v>1</v>
      </c>
      <c r="G15" s="13" t="n">
        <v>131000</v>
      </c>
      <c r="H15" s="14" t="n">
        <f aca="false">F15*G15</f>
        <v>131000</v>
      </c>
      <c r="I15" s="8" t="s">
        <v>251</v>
      </c>
      <c r="J15" s="8"/>
    </row>
    <row r="16" customFormat="false" ht="23.85" hidden="false" customHeight="false" outlineLevel="0" collapsed="false">
      <c r="A16" s="11" t="n">
        <v>11</v>
      </c>
      <c r="B16" s="4" t="s">
        <v>252</v>
      </c>
      <c r="C16" s="8" t="s">
        <v>253</v>
      </c>
      <c r="D16" s="8" t="s">
        <v>254</v>
      </c>
      <c r="E16" s="11" t="s">
        <v>65</v>
      </c>
      <c r="F16" s="12" t="n">
        <v>1</v>
      </c>
      <c r="G16" s="13" t="n">
        <v>150000</v>
      </c>
      <c r="H16" s="14" t="n">
        <f aca="false">F16*G16</f>
        <v>150000</v>
      </c>
      <c r="I16" s="8" t="s">
        <v>61</v>
      </c>
      <c r="J16" s="8"/>
    </row>
    <row r="17" customFormat="false" ht="15" hidden="false" customHeight="false" outlineLevel="0" collapsed="false">
      <c r="A17" s="15"/>
      <c r="B17" s="16" t="s">
        <v>101</v>
      </c>
      <c r="C17" s="15"/>
      <c r="D17" s="15"/>
      <c r="E17" s="15"/>
      <c r="F17" s="15"/>
      <c r="G17" s="15"/>
      <c r="H17" s="17" t="n">
        <f aca="false">H5+H6+H7+H9+H10+H11+H12+H13+H14+H15+H16</f>
        <v>1891800</v>
      </c>
      <c r="I17" s="15"/>
      <c r="J17" s="15"/>
    </row>
    <row r="18" customFormat="false" ht="15" hidden="false" customHeight="false" outlineLevel="0" collapsed="false">
      <c r="A18" s="18"/>
      <c r="B18" s="19" t="s">
        <v>102</v>
      </c>
      <c r="C18" s="18"/>
      <c r="D18" s="18"/>
      <c r="E18" s="18"/>
      <c r="F18" s="18"/>
      <c r="G18" s="18"/>
      <c r="H18" s="20" t="n">
        <f aca="false">ROUND(H17*0.1,-3)</f>
        <v>189000</v>
      </c>
      <c r="I18" s="18"/>
      <c r="J18" s="18"/>
    </row>
    <row r="19" customFormat="false" ht="15" hidden="false" customHeight="false" outlineLevel="0" collapsed="false">
      <c r="A19" s="15"/>
      <c r="B19" s="21" t="s">
        <v>103</v>
      </c>
      <c r="C19" s="15"/>
      <c r="D19" s="15"/>
      <c r="E19" s="15"/>
      <c r="F19" s="15"/>
      <c r="G19" s="15"/>
      <c r="H19" s="22" t="n">
        <f aca="false">H17+H18</f>
        <v>2080800</v>
      </c>
      <c r="I19" s="15"/>
      <c r="J19" s="15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2026-07-30T19:42:03Z</dcterms:created>
  <dc:creator>openpyxl</dc:creator>
  <dc:description/>
  <dc:language>en-US</dc:language>
  <cp:lastModifiedBy/>
  <dcterms:modified xsi:type="dcterms:W3CDTF">2026-07-30T19:42:03Z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