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равнение" sheetId="1" state="visible" r:id="rId3"/>
    <sheet name="В1_Базовый" sheetId="2" state="visible" r:id="rId4"/>
    <sheet name="В2_Надёжный" sheetId="3" state="visible" r:id="rId5"/>
    <sheet name="В3_Резервированный" sheetId="4" state="visible" r:id="rId6"/>
    <sheet name="OPEX_Опци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<sst xmlns="http://schemas.openxmlformats.org/spreadsheetml/2006/main" count="462" uniqueCount="249">
  <si>
    <t xml:space="preserve">Варианты 1–3 млн ₽: глубина обязательна во всех, различие — класс надёжности</t>
  </si>
  <si>
    <t xml:space="preserve">Во всех вариантах — калиброванный риг «перед/зад» на промкамерах с global shutter: это условие измерения глубины (two-view, режим E). Цены — розница РФ, июль 2026, с НДС; «оценка» — уточнить счетами. Синим — редактируемые значения, чёрным — формулы, зелёным — ссылки на листы.</t>
  </si>
  <si>
    <t xml:space="preserve">Параметр</t>
  </si>
  <si>
    <t xml:space="preserve">В1 «Базовый»</t>
  </si>
  <si>
    <t xml:space="preserve">В2 «Надёжный» — РЕКОМЕНДУЕМЫЙ</t>
  </si>
  <si>
    <t xml:space="preserve">В3 «Резервированный»</t>
  </si>
  <si>
    <t xml:space="preserve">ИТОГО оборудование, ₽</t>
  </si>
  <si>
    <t xml:space="preserve">ВСЕГО с резервом 10%, ₽</t>
  </si>
  <si>
    <t xml:space="preserve">Измерение глубины (two-view, режим E)</t>
  </si>
  <si>
    <t xml:space="preserve">ДА — риг 8,9 Мп</t>
  </si>
  <si>
    <t xml:space="preserve">ДА — риг 12,3 Мп</t>
  </si>
  <si>
    <t xml:space="preserve">Бортовой компьютер</t>
  </si>
  <si>
    <t xml:space="preserve">Мини-ПК x86 + DC-UPS (потребительский класс — главный компромисс)</t>
  </si>
  <si>
    <t xml:space="preserve">Neousys транспортного исполнения: вибро/−25…+60 °C/ignition/суперконденсаторы</t>
  </si>
  <si>
    <t xml:space="preserve">Neousys транспортного исполнения</t>
  </si>
  <si>
    <t xml:space="preserve">Безотказность борта</t>
  </si>
  <si>
    <t xml:space="preserve">Средняя: выдержит пилот, для ежедневной эксплуатации — риск</t>
  </si>
  <si>
    <t xml:space="preserve">Высокая: класс подвижного состава</t>
  </si>
  <si>
    <t xml:space="preserve">Высокая + горячий ЗИП (камера, объектив, SSD)</t>
  </si>
  <si>
    <t xml:space="preserve">Сервер / АРМ</t>
  </si>
  <si>
    <t xml:space="preserve">Совмещены в одном ПК (RTX 5070 Ti, RAID1 32 ТБ)</t>
  </si>
  <si>
    <t xml:space="preserve">Выделенный сервер (RAID1 40 ТБ) + АРМ-мониторы</t>
  </si>
  <si>
    <t xml:space="preserve">Выделенный сервер + ОТДЕЛЬНЫЙ АРМ + онлайн-ИБП 2 кВА</t>
  </si>
  <si>
    <t xml:space="preserve">Защита данных</t>
  </si>
  <si>
    <t xml:space="preserve">RAID1 на ПК</t>
  </si>
  <si>
    <t xml:space="preserve">RAID1 на сервере + WiFi-автовыгрузка</t>
  </si>
  <si>
    <t xml:space="preserve">RAID1 + независимый NAS-бэкап (3-2-1) + подменный SSD</t>
  </si>
  <si>
    <t xml:space="preserve">Геопривязка</t>
  </si>
  <si>
    <t xml:space="preserve">ZED-F9R (RTK+IMU+PPS)</t>
  </si>
  <si>
    <t xml:space="preserve">ZED-F9R + survey-антенна</t>
  </si>
  <si>
    <t xml:space="preserve">ZED-F9R + СВОЯ базовая станция RTK (см без абонентки)</t>
  </si>
  <si>
    <t xml:space="preserve">Выгрузка данных</t>
  </si>
  <si>
    <t xml:space="preserve">SSD/SD вручную</t>
  </si>
  <si>
    <t xml:space="preserve">WiFi в депо автоматически</t>
  </si>
  <si>
    <t xml:space="preserve">WiFi в депо + мост на дальнюю стоянку</t>
  </si>
  <si>
    <t xml:space="preserve">Ground truth / юридика</t>
  </si>
  <si>
    <t xml:space="preserve">Рейка 3 м С ПОВЕРКОЙ</t>
  </si>
  <si>
    <t xml:space="preserve">Рейка с поверкой + DISTO X3 с поверкой</t>
  </si>
  <si>
    <t xml:space="preserve">Остаточные риски</t>
  </si>
  <si>
    <t xml:space="preserve">Отказ мини-ПК в вибрации/морозе; простой на время ремонта; ручной перенос данных</t>
  </si>
  <si>
    <t xml:space="preserve">Единственный комплект камер: отказ узла = простой до поставки (4–8 недель)</t>
  </si>
  <si>
    <t xml:space="preserve">Минимальные в этой рамке; не покрыто: вторая машина (опция), ИНС-тангаж (опция)</t>
  </si>
  <si>
    <t xml:space="preserve">Путь апгрейда</t>
  </si>
  <si>
    <t xml:space="preserve">→ В2: замена мини-ПК на Neousys (550 тыс.), камеры остаются</t>
  </si>
  <si>
    <t xml:space="preserve">→ В3: +ЗИП, +NAS, +АРМ, +база RTK (~810 тыс.)</t>
  </si>
  <si>
    <t xml:space="preserve">→ вторая риговая машина (1,28 млн) или профессиональная спецификация (~10,9 млн)</t>
  </si>
  <si>
    <t xml:space="preserve">Почему «безотказно» = В2/В3: единственная деталь, которая живёт в вибрации, пыли, морозе и скачках бортсети каждый день — бортовой компьютер. Транспортное исполнение (Neousys) спроектировано именно под это (ignition control, суперконденсаторный ИБП — ни один кадр не теряется при глушении). Камеры Hikrobot промышленные во всех вариантах; сервер в тепле — там достаточно RAID и ИБП. Сантиметры глубины включаются в продуктив после полевого пилота против поверенной рейки (10–15 ям) — это встроенный этап, не доп. расход.</t>
  </si>
  <si>
    <t xml:space="preserve">Вариант 1 «Базовый» — 1 риговая машина, ориентир 1,3 млн ₽</t>
  </si>
  <si>
    <t xml:space="preserve">Глубина: ЕСТЬ (риг global shutter + two-view). Компромиссы ради бюджета: бортовой мини-ПК потребительского класса, сервер совмещён с АРМ, перенос данных SSD/SD вручную.</t>
  </si>
  <si>
    <t xml:space="preserve">№</t>
  </si>
  <si>
    <t xml:space="preserve">Наименование</t>
  </si>
  <si>
    <t xml:space="preserve">Назначение / обоснование</t>
  </si>
  <si>
    <t xml:space="preserve">Модель-пример</t>
  </si>
  <si>
    <t xml:space="preserve">Ед.</t>
  </si>
  <si>
    <t xml:space="preserve">Кол-во</t>
  </si>
  <si>
    <t xml:space="preserve">Цена за ед., ₽</t>
  </si>
  <si>
    <t xml:space="preserve">Сумма, ₽</t>
  </si>
  <si>
    <t xml:space="preserve">Ориентир цены (июль 2026)</t>
  </si>
  <si>
    <t xml:space="preserve">Примечание</t>
  </si>
  <si>
    <t xml:space="preserve">БЛОК А. Риговая машина — базовое исполнение (глубина)</t>
  </si>
  <si>
    <t xml:space="preserve">Промкамера 8,9 Мп global shutter GigE + кожух с обогревом</t>
  </si>
  <si>
    <t xml:space="preserve">Перед + зад. Global shutter обязателен для измерений на ходу (60 км/ч = смаз 17 мм/мс)</t>
  </si>
  <si>
    <t xml:space="preserve">Hikrobot MV-CS089-10GC (Sony IMX267) + кожух Wizebox</t>
  </si>
  <si>
    <t xml:space="preserve">компл</t>
  </si>
  <si>
    <t xml:space="preserve">камера 100–140 тыс. + кожух 10–25 тыс.</t>
  </si>
  <si>
    <t xml:space="preserve">НЕ брать «20 Мп» на IMX183/226 — rolling shutter</t>
  </si>
  <si>
    <t xml:space="preserve">Объектив C-mount 12 Мп</t>
  </si>
  <si>
    <t xml:space="preserve">Hikrobot MVL-KF1228M-12MP</t>
  </si>
  <si>
    <t xml:space="preserve">шт</t>
  </si>
  <si>
    <t xml:space="preserve">оценка 25–45 тыс.</t>
  </si>
  <si>
    <t xml:space="preserve">Бортовой мини-ПК x86 + PoE-инжекторы</t>
  </si>
  <si>
    <t xml:space="preserve">Съёмка по дистанции, запись кадров, PPS-синхронизация. Компромисс варианта: потребительское исполнение</t>
  </si>
  <si>
    <t xml:space="preserve">мини-ПК (Ryzen 7/Core i5) + 2×PoE+</t>
  </si>
  <si>
    <t xml:space="preserve">оценка</t>
  </si>
  <si>
    <t xml:space="preserve">Для тиража заменяется транспортным Neousys (см. В2)</t>
  </si>
  <si>
    <t xml:space="preserve">DC-UPS / питание 12 В с задержкой выключения</t>
  </si>
  <si>
    <t xml:space="preserve">Корректное завершение записи при глушении двигателя</t>
  </si>
  <si>
    <t xml:space="preserve">Mini-Box OpenUPS / аналог</t>
  </si>
  <si>
    <t xml:space="preserve">оценка 15–30 тыс.</t>
  </si>
  <si>
    <t xml:space="preserve">NVMe SSD 2 ТБ</t>
  </si>
  <si>
    <t xml:space="preserve">Буфер смен</t>
  </si>
  <si>
    <t xml:space="preserve">Samsung 990 Pro 2TB</t>
  </si>
  <si>
    <t xml:space="preserve">GNSS RTK-модуль с IMU и PPS + антенна</t>
  </si>
  <si>
    <t xml:space="preserve">Геопривязка, триггер по дистанции, первичный тангаж</t>
  </si>
  <si>
    <t xml:space="preserve">u-blox ZED-F9R + антенна</t>
  </si>
  <si>
    <t xml:space="preserve">оценка 55–75 тыс.</t>
  </si>
  <si>
    <t xml:space="preserve">Крепёж: платформа, кронштейны, виброразвязка</t>
  </si>
  <si>
    <t xml:space="preserve">Жёсткий риг = эталон масштаба</t>
  </si>
  <si>
    <t xml:space="preserve">Кабели M12/GigE, PoE, гермовводы</t>
  </si>
  <si>
    <t xml:space="preserve">Монтаж, юстировка, калибровка рига</t>
  </si>
  <si>
    <t xml:space="preserve">Интринзики, высота, тангаж</t>
  </si>
  <si>
    <t xml:space="preserve">работы</t>
  </si>
  <si>
    <t xml:space="preserve">усл</t>
  </si>
  <si>
    <t xml:space="preserve">БЛОК Б. Сервер и АРМ (совмещённые)</t>
  </si>
  <si>
    <t xml:space="preserve">ПК «сервер + АРМ» в одном</t>
  </si>
  <si>
    <t xml:space="preserve">Скрининг, полный конвейер, two-view фотограмметрия, БД, веб-интерфейс, разметка. Зеркало HDD защищает архив</t>
  </si>
  <si>
    <t xml:space="preserve">Ryzen 9 9950X / 64 ГБ DDR5 / RTX 5070 Ti 16 ГБ / NVMe 2 ТБ / 2×16 ТБ HDD (RAID1)</t>
  </si>
  <si>
    <t xml:space="preserve">RTX 5070 Ti — от 97 990 (regard.ru); остальное оценка</t>
  </si>
  <si>
    <t xml:space="preserve">Монитор 27" 4K IPS</t>
  </si>
  <si>
    <t xml:space="preserve">Разметка и контроль</t>
  </si>
  <si>
    <t xml:space="preserve">LG 27UP650</t>
  </si>
  <si>
    <t xml:space="preserve">ИБП 1500 ВА</t>
  </si>
  <si>
    <t xml:space="preserve">Ippon Back Basic 1500</t>
  </si>
  <si>
    <t xml:space="preserve">nix.ru — 16 690</t>
  </si>
  <si>
    <t xml:space="preserve">Периферия</t>
  </si>
  <si>
    <t xml:space="preserve">клавиатура + мышь</t>
  </si>
  <si>
    <t xml:space="preserve">БЛОК Г. Калибровка и контрольные замеры (ground truth)</t>
  </si>
  <si>
    <t xml:space="preserve">Калибровочные мишени</t>
  </si>
  <si>
    <t xml:space="preserve">Шахматка (интринзики) + ChArUco (режим ручной досъёмки)</t>
  </si>
  <si>
    <t xml:space="preserve">УФ-печать на ПВХ 5 мм / алюкобонде</t>
  </si>
  <si>
    <t xml:space="preserve">оценка (лист ПВХ — от 1 390, poliservis.com)</t>
  </si>
  <si>
    <t xml:space="preserve">Рейка дорожная 3 м с промерным клином, С ПОВЕРКОЙ</t>
  </si>
  <si>
    <t xml:space="preserve">Ground truth глубины: валидация two-view на пилоте (10–15 ям) и юридически значимые акты по ГОСТ Р 50597</t>
  </si>
  <si>
    <t xml:space="preserve">РДУ «Кондор» (ГОСТ 30412)</t>
  </si>
  <si>
    <t xml:space="preserve">rusgeocom.ru — 58 000</t>
  </si>
  <si>
    <t xml:space="preserve">Продление поверки ~8 тыс./год</t>
  </si>
  <si>
    <t xml:space="preserve">Лазерный дальномер + мерный инструмент</t>
  </si>
  <si>
    <t xml:space="preserve">Дистанции съёмки, высота рига при калибровке</t>
  </si>
  <si>
    <t xml:space="preserve">Bosch GLM 50 + рулетка/линейка</t>
  </si>
  <si>
    <t xml:space="preserve">Комплект безопасности на машину</t>
  </si>
  <si>
    <t xml:space="preserve">Работы на проезжей части при контрольных замерах</t>
  </si>
  <si>
    <t xml:space="preserve">2 жилета + 4 конуса с утяжелителем + знак</t>
  </si>
  <si>
    <t xml:space="preserve">Внешний SSD 2 ТБ USB-C</t>
  </si>
  <si>
    <t xml:space="preserve">Резервный канал переноса данных</t>
  </si>
  <si>
    <t xml:space="preserve">Samsung T7</t>
  </si>
  <si>
    <t xml:space="preserve">оценка 18–22 тыс.</t>
  </si>
  <si>
    <t xml:space="preserve">ИТОГО</t>
  </si>
  <si>
    <t xml:space="preserve">Резерв на непредвиденные, 10%</t>
  </si>
  <si>
    <t xml:space="preserve">ВСЕГО с резервом</t>
  </si>
  <si>
    <t xml:space="preserve">Вариант 2 «Надёжный» (РЕКОМЕНДУЕМЫЙ) — 1 риговая машина транспортного исполнения, ориентир 2,2 млн ₽</t>
  </si>
  <si>
    <t xml:space="preserve">Глубина: ЕСТЬ. Безотказность борта: транспортный ПК Neousys (вибро/температура/ignition/суперконденсаторный ИБП), камеры 12,3 Мп в кожухах с обогревом, автовыгрузка по WiFi, выделенный сервер с зеркалом.</t>
  </si>
  <si>
    <t xml:space="preserve">БЛОК А. Риговая машина — транспортное исполнение (глубина, безотказно)</t>
  </si>
  <si>
    <t xml:space="preserve">Промкамера 12,3 Мп global shutter GigE, IP-кожух с обогревом</t>
  </si>
  <si>
    <t xml:space="preserve">Перед + зад. Global shutter обязателен для измерений на ходу (60 км/ч = смаз 17 мм/мс); 12,3 Мп ≈ 1–1,5 мм/px в рабочей зоне 2,5–5 м</t>
  </si>
  <si>
    <t xml:space="preserve">Hikrobot MV-CS120-10GC (Sony IMX253) + кожух Wizebox</t>
  </si>
  <si>
    <t xml:space="preserve">камера 130–180 тыс. (mallenom.ru, digitoria.ru) + кожух 10–25 тыс. (wizebox.ru)</t>
  </si>
  <si>
    <t xml:space="preserve">Объектив C-mount 12 Мп, 1.1"</t>
  </si>
  <si>
    <t xml:space="preserve">Полоса дороги целиком с 2,5–8 м</t>
  </si>
  <si>
    <t xml:space="preserve">Бортовой ПК транспортного исполнения</t>
  </si>
  <si>
    <t xml:space="preserve">КЛЮЧ К БЕЗОТКАЗНОСТИ БОРТА: вибростойкость, −25…+60 °C, питание 8–48 В, ignition control, PoE+ камерам, встроенный ИБП на суперконденсаторах — корректное завершение записи при любом глушении</t>
  </si>
  <si>
    <t xml:space="preserve">Neousys Nuvo-7250VTC</t>
  </si>
  <si>
    <t xml:space="preserve">оценка 450–700 тыс. (nnz-ipc.ru, ipc2u.ru — по запросу)</t>
  </si>
  <si>
    <t xml:space="preserve">Срок поставки 6–12 недель — заказывать первым</t>
  </si>
  <si>
    <t xml:space="preserve">NVMe SSD 4 ТБ</t>
  </si>
  <si>
    <t xml:space="preserve">Буфер смен с недельным запасом</t>
  </si>
  <si>
    <t xml:space="preserve">Samsung 990 Pro 4TB</t>
  </si>
  <si>
    <t xml:space="preserve">regard.ru — 69 990</t>
  </si>
  <si>
    <t xml:space="preserve">GNSS RTK-модуль с IMU и PPS + survey-антенна</t>
  </si>
  <si>
    <t xml:space="preserve">Геопривязка кадров, триггер съёмки по дистанции, первичный тангаж; RTK 1–2 см при поправках</t>
  </si>
  <si>
    <t xml:space="preserve">u-blox ZED-F9R + антенна Harxon</t>
  </si>
  <si>
    <t xml:space="preserve">оценка 55–90 тыс.</t>
  </si>
  <si>
    <t xml:space="preserve">Жёсткий риг = постоянный эталон масштаба (калибровка высоты/тангажа)</t>
  </si>
  <si>
    <t xml:space="preserve">оценка 30–70 тыс.</t>
  </si>
  <si>
    <t xml:space="preserve">Кабели M12/GigE, PoE, гермовводы, проводка</t>
  </si>
  <si>
    <t xml:space="preserve">Монтаж на автомобиль, юстировка, калибровка рига</t>
  </si>
  <si>
    <t xml:space="preserve">Интринзики (шахматка), высота, тангаж; протокол калибровки</t>
  </si>
  <si>
    <t xml:space="preserve">Повторять после каждого демонтажа</t>
  </si>
  <si>
    <t xml:space="preserve">БЛОК Б. Сервер и АРМ</t>
  </si>
  <si>
    <t xml:space="preserve">Сервер-ПК (выделенный)</t>
  </si>
  <si>
    <t xml:space="preserve">Конвейер, фотограмметрия, БД PostGIS, веб; дообучение YOLO ночами. Зеркало 2×20 ТБ</t>
  </si>
  <si>
    <t xml:space="preserve">Ryzen 9 9950X / 96 ГБ DDR5 / RTX 5070 Ti 16 ГБ / NVMe 4 ТБ / 2×20 ТБ (RAID1)</t>
  </si>
  <si>
    <t xml:space="preserve">RTX 5070 Ti от 97 990 (regard.ru); HDD/RAM — оценка при дефиците 2026</t>
  </si>
  <si>
    <t xml:space="preserve">АРМ: разметка + реестр/карта</t>
  </si>
  <si>
    <t xml:space="preserve">Logitech + гарнитура</t>
  </si>
  <si>
    <t xml:space="preserve">Точка доступа WiFi 6 в депо</t>
  </si>
  <si>
    <t xml:space="preserve">Автовыгрузка смены (10–15 ГБ кадров) при заезде — без ручных операций</t>
  </si>
  <si>
    <t xml:space="preserve">TP-Link Omada EAP670 + PoE</t>
  </si>
  <si>
    <t xml:space="preserve">tplink.com.ru — 17 090</t>
  </si>
  <si>
    <t xml:space="preserve">Вариант 3 «Резервированный» — В2 + горячий ЗИП и отказоустойчивый тыл, ориентир 3,0 млн ₽</t>
  </si>
  <si>
    <t xml:space="preserve">Глубина: ЕСТЬ. Максимальная безотказность в рамке 3 млн: запасная камера и SSD на борт, независимый NAS-бэкап, онлайн-ИБП, отдельный АРМ (сервер не останавливается), своя RTK-база, поверенный дальномер.</t>
  </si>
  <si>
    <t xml:space="preserve">БЛОК Б. Горячий ЗИП борта (безотказность: замена узла за час)</t>
  </si>
  <si>
    <t xml:space="preserve">Запасная камера + объектив</t>
  </si>
  <si>
    <t xml:space="preserve">Продолжение работ при отказе/повреждении любого канала</t>
  </si>
  <si>
    <t xml:space="preserve">Hikrobot MV-CS120-10GC + MVL-KF1228M</t>
  </si>
  <si>
    <t xml:space="preserve">по ценам блока А</t>
  </si>
  <si>
    <t xml:space="preserve">Запасной бортовой SSD 4 ТБ</t>
  </si>
  <si>
    <t xml:space="preserve">Подменный носитель — смена не теряется</t>
  </si>
  <si>
    <t xml:space="preserve">БЛОК В. Сервер, АРМ, сеть, резервирование</t>
  </si>
  <si>
    <t xml:space="preserve">Конвейер, фотограмметрия, БД, веб, дообучение</t>
  </si>
  <si>
    <t xml:space="preserve">Ryzen 9 9950X / 96 ГБ / RTX 5070 Ti / NVMe 4 ТБ / 2×20 ТБ (RAID1)</t>
  </si>
  <si>
    <t xml:space="preserve">RTX 5070 Ti от 97 990 (regard.ru)</t>
  </si>
  <si>
    <t xml:space="preserve">ИБП online 2 кВА</t>
  </si>
  <si>
    <t xml:space="preserve">Двойное преобразование — сервер переживает любые скачки сети</t>
  </si>
  <si>
    <t xml:space="preserve">Ippon Innova RT 2000 / Powercom</t>
  </si>
  <si>
    <t xml:space="preserve">оценка 45–80 тыс.</t>
  </si>
  <si>
    <t xml:space="preserve">NAS 4 отсека + 2×16 ТБ</t>
  </si>
  <si>
    <t xml:space="preserve">НЕЗАВИСИМЫЙ бэкап БД и архива кадров (правило 3-2-1)</t>
  </si>
  <si>
    <t xml:space="preserve">QNAP/Synology 4-bay + IronWolf Pro</t>
  </si>
  <si>
    <t xml:space="preserve">АРМ оператора (отдельный от сервера)</t>
  </si>
  <si>
    <t xml:space="preserve">Разметка/контроль не мешают конвейеру; сервер работает без перерывов</t>
  </si>
  <si>
    <t xml:space="preserve">Ryzen 5 / 32 ГБ / NVMe 1 ТБ + 2× монитора 27" 4K</t>
  </si>
  <si>
    <t xml:space="preserve">оценка (ПК ~150 тыс. + 2×45 тыс. мониторы)</t>
  </si>
  <si>
    <t xml:space="preserve">ИБП 1500 ВА для АРМ</t>
  </si>
  <si>
    <t xml:space="preserve">Точка доступа WiFi 6 + мост на стоянку</t>
  </si>
  <si>
    <t xml:space="preserve">Автовыгрузка, даже если машина ночует на дальней стоянке</t>
  </si>
  <si>
    <t xml:space="preserve">TP-Link EAP670 + 2×CPE710</t>
  </si>
  <si>
    <t xml:space="preserve">tplink.com.ru — 17 090 + мост ~20 тыс.</t>
  </si>
  <si>
    <t xml:space="preserve">Собственная базовая станция RTK</t>
  </si>
  <si>
    <t xml:space="preserve">Сантиметровая привязка без абонентской платы</t>
  </si>
  <si>
    <t xml:space="preserve">ZED-F9P + антенна на крыше</t>
  </si>
  <si>
    <t xml:space="preserve">Альтернатива: EFT-CORS 50 400 ₽/год</t>
  </si>
  <si>
    <t xml:space="preserve">Лазерный дальномер IP65 с поверкой</t>
  </si>
  <si>
    <t xml:space="preserve">Leica DISTO X3 + поверка</t>
  </si>
  <si>
    <t xml:space="preserve">geooptic.ru — 47 300 + поверка 1 000</t>
  </si>
  <si>
    <t xml:space="preserve">OPEX и опции расширения</t>
  </si>
  <si>
    <t xml:space="preserve">Строка «ИТОГО» листа — справочная сумма всех строк, в бюджеты вариантов не входит.</t>
  </si>
  <si>
    <t xml:space="preserve">OPEX (в год)</t>
  </si>
  <si>
    <t xml:space="preserve">RTK-поправки NTRIP (если без своей базы)</t>
  </si>
  <si>
    <t xml:space="preserve">Сантиметровая привязка; для работы движка не обязательна</t>
  </si>
  <si>
    <t xml:space="preserve">EFT-CORS (Ростов-на-Дону)</t>
  </si>
  <si>
    <t xml:space="preserve">приёмник</t>
  </si>
  <si>
    <t xml:space="preserve">eft-cors.ru — 50 400 ₽/год</t>
  </si>
  <si>
    <t xml:space="preserve">SmartNet — 41 900 ₽/год; в В3 есть своя база → 0</t>
  </si>
  <si>
    <t xml:space="preserve">Продление поверки (рейка, дальномер)</t>
  </si>
  <si>
    <t xml:space="preserve">год</t>
  </si>
  <si>
    <t xml:space="preserve">Связь LTE (опция выгрузки с маршрута)</t>
  </si>
  <si>
    <t xml:space="preserve">SIM M2M</t>
  </si>
  <si>
    <t xml:space="preserve">шт/год</t>
  </si>
  <si>
    <t xml:space="preserve">оценка 700 ₽/мес</t>
  </si>
  <si>
    <t xml:space="preserve">Опции расширения (в итоги вариантов не входят)</t>
  </si>
  <si>
    <t xml:space="preserve">ВТОРАЯ риговая машина, транспортное исполнение</t>
  </si>
  <si>
    <t xml:space="preserve">Глубина на втором маршруте</t>
  </si>
  <si>
    <t xml:space="preserve">состав блока А варианта В2</t>
  </si>
  <si>
    <t xml:space="preserve">по ценам В2</t>
  </si>
  <si>
    <t xml:space="preserve">Вторая риговая машина, базовое исполнение</t>
  </si>
  <si>
    <t xml:space="preserve">Глубина на втором маршруте, бюджетно</t>
  </si>
  <si>
    <t xml:space="preserve">состав блока А варианта В1</t>
  </si>
  <si>
    <t xml:space="preserve">по ценам В1</t>
  </si>
  <si>
    <t xml:space="preserve">Машина покрытия на видеорегистраторе</t>
  </si>
  <si>
    <t xml:space="preserve">Детекция и реестр без глубины (категорийно)</t>
  </si>
  <si>
    <t xml:space="preserve">BlackVue DR970X-2CH + SD + проводка + ZED-F9P</t>
  </si>
  <si>
    <t xml:space="preserve">alarm.ru — 85 490 + обвязка</t>
  </si>
  <si>
    <t xml:space="preserve">Апгрейд GPU сервера до RTX 5090 32 ГБ</t>
  </si>
  <si>
    <t xml:space="preserve">Ускорение дообучения и фотограмметрии</t>
  </si>
  <si>
    <t xml:space="preserve">RTX 5090</t>
  </si>
  <si>
    <t xml:space="preserve">regard.ru — от 424 990</t>
  </si>
  <si>
    <t xml:space="preserve">Доплата к 5070 Ti ~330 тыс.</t>
  </si>
  <si>
    <t xml:space="preserve">Камеры 24,5 Мп global shutter вместо 12,3</t>
  </si>
  <si>
    <t xml:space="preserve">Запас детализации текстуры дна</t>
  </si>
  <si>
    <t xml:space="preserve">Hikrobot MV-CS230-10GC (IMX530)</t>
  </si>
  <si>
    <t xml:space="preserve">оценка 200–300 тыс.</t>
  </si>
  <si>
    <t xml:space="preserve">Транспортный борт-ПК для В1 (апгрейд мини-ПК)</t>
  </si>
  <si>
    <t xml:space="preserve">Довести В1 до надёжности В2</t>
  </si>
  <si>
    <t xml:space="preserve">оценка 450–700 тыс.</t>
  </si>
  <si>
    <t xml:space="preserve">ИНС навигационного класса</t>
  </si>
  <si>
    <t xml:space="preserve">Метрологический тангаж ±0,03° (если программного уточнения мало)</t>
  </si>
  <si>
    <t xml:space="preserve">ЛМП ГКВ-6 (РФ)</t>
  </si>
  <si>
    <t xml:space="preserve">оценка 300–800 тыс., mp-lab.ru</t>
  </si>
  <si>
    <t xml:space="preserve">По итогам пилота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</si>
</sst>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E2EFDA"/>
        <bgColor rgb="FFD9E2F3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38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39.7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В1_Базовый!H25</f>
        <v>1202000</v>
      </c>
      <c r="C5" s="5" t="n">
        <f aca="false">В2_Надёжный!H25</f>
        <v>1988000</v>
      </c>
      <c r="D5" s="5" t="n">
        <f aca="false">В3_Резервированный!H31</f>
        <v>2719000</v>
      </c>
    </row>
    <row r="6" customFormat="false" ht="15" hidden="false" customHeight="false" outlineLevel="0" collapsed="false">
      <c r="A6" s="6" t="s">
        <v>7</v>
      </c>
      <c r="B6" s="7" t="n">
        <f aca="false">В1_Базовый!H27</f>
        <v>1322000</v>
      </c>
      <c r="C6" s="7" t="n">
        <f aca="false">В2_Надёжный!H27</f>
        <v>2187000</v>
      </c>
      <c r="D6" s="7" t="n">
        <f aca="false">В3_Резервированный!H33</f>
        <v>2991000</v>
      </c>
    </row>
    <row r="7" customFormat="false" ht="23.85" hidden="false" customHeight="false" outlineLevel="0" collapsed="false">
      <c r="A7" s="4" t="s">
        <v>8</v>
      </c>
      <c r="B7" s="8" t="s">
        <v>9</v>
      </c>
      <c r="C7" s="8" t="s">
        <v>10</v>
      </c>
      <c r="D7" s="8" t="s">
        <v>10</v>
      </c>
    </row>
    <row r="8" customFormat="false" ht="35.05" hidden="false" customHeight="false" outlineLevel="0" collapsed="false">
      <c r="A8" s="4" t="s">
        <v>11</v>
      </c>
      <c r="B8" s="8" t="s">
        <v>12</v>
      </c>
      <c r="C8" s="8" t="s">
        <v>13</v>
      </c>
      <c r="D8" s="8" t="s">
        <v>14</v>
      </c>
    </row>
    <row r="9" customFormat="false" ht="23.85" hidden="false" customHeight="false" outlineLevel="0" collapsed="false">
      <c r="A9" s="4" t="s">
        <v>15</v>
      </c>
      <c r="B9" s="8" t="s">
        <v>16</v>
      </c>
      <c r="C9" s="8" t="s">
        <v>17</v>
      </c>
      <c r="D9" s="8" t="s">
        <v>18</v>
      </c>
    </row>
    <row r="10" customFormat="false" ht="23.85" hidden="false" customHeight="false" outlineLevel="0" collapsed="false">
      <c r="A10" s="4" t="s">
        <v>19</v>
      </c>
      <c r="B10" s="8" t="s">
        <v>20</v>
      </c>
      <c r="C10" s="8" t="s">
        <v>21</v>
      </c>
      <c r="D10" s="8" t="s">
        <v>22</v>
      </c>
    </row>
    <row r="11" customFormat="false" ht="23.85" hidden="false" customHeight="false" outlineLevel="0" collapsed="false">
      <c r="A11" s="4" t="s">
        <v>23</v>
      </c>
      <c r="B11" s="8" t="s">
        <v>24</v>
      </c>
      <c r="C11" s="8" t="s">
        <v>25</v>
      </c>
      <c r="D11" s="8" t="s">
        <v>26</v>
      </c>
    </row>
    <row r="12" customFormat="false" ht="23.85" hidden="false" customHeight="false" outlineLevel="0" collapsed="false">
      <c r="A12" s="4" t="s">
        <v>27</v>
      </c>
      <c r="B12" s="8" t="s">
        <v>28</v>
      </c>
      <c r="C12" s="8" t="s">
        <v>29</v>
      </c>
      <c r="D12" s="8" t="s">
        <v>30</v>
      </c>
    </row>
    <row r="13" customFormat="false" ht="15" hidden="false" customHeight="false" outlineLevel="0" collapsed="false">
      <c r="A13" s="4" t="s">
        <v>31</v>
      </c>
      <c r="B13" s="8" t="s">
        <v>32</v>
      </c>
      <c r="C13" s="8" t="s">
        <v>33</v>
      </c>
      <c r="D13" s="8" t="s">
        <v>34</v>
      </c>
    </row>
    <row r="14" customFormat="false" ht="15" hidden="false" customHeight="false" outlineLevel="0" collapsed="false">
      <c r="A14" s="4" t="s">
        <v>35</v>
      </c>
      <c r="B14" s="8" t="s">
        <v>36</v>
      </c>
      <c r="C14" s="8" t="s">
        <v>36</v>
      </c>
      <c r="D14" s="8" t="s">
        <v>37</v>
      </c>
    </row>
    <row r="15" customFormat="false" ht="35.05" hidden="false" customHeight="false" outlineLevel="0" collapsed="false">
      <c r="A15" s="4" t="s">
        <v>38</v>
      </c>
      <c r="B15" s="8" t="s">
        <v>39</v>
      </c>
      <c r="C15" s="8" t="s">
        <v>40</v>
      </c>
      <c r="D15" s="8" t="s">
        <v>41</v>
      </c>
    </row>
    <row r="16" customFormat="false" ht="23.85" hidden="false" customHeight="false" outlineLevel="0" collapsed="false">
      <c r="A16" s="4" t="s">
        <v>42</v>
      </c>
      <c r="B16" s="8" t="s">
        <v>43</v>
      </c>
      <c r="C16" s="8" t="s">
        <v>44</v>
      </c>
      <c r="D16" s="8" t="s">
        <v>45</v>
      </c>
    </row>
    <row r="18" customFormat="false" ht="63.75" hidden="false" customHeight="true" outlineLevel="0" collapsed="false">
      <c r="A18" s="2" t="s">
        <v>46</v>
      </c>
      <c r="B18" s="2"/>
      <c r="C18" s="2"/>
      <c r="D18" s="2"/>
    </row>
  </sheetData>
  <mergeCells count="3">
    <mergeCell ref="A1:D1"/>
    <mergeCell ref="A2:D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6"/>
  </cols>
  <sheetData>
    <row r="1" customFormat="false" ht="16.15" hidden="false" customHeight="false" outlineLevel="0" collapsed="false">
      <c r="A1" s="9" t="s">
        <v>47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27.75" hidden="false" customHeight="tru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0" t="s">
        <v>49</v>
      </c>
      <c r="B3" s="10" t="s">
        <v>50</v>
      </c>
      <c r="C3" s="10" t="s">
        <v>51</v>
      </c>
      <c r="D3" s="10" t="s">
        <v>52</v>
      </c>
      <c r="E3" s="10" t="s">
        <v>53</v>
      </c>
      <c r="F3" s="10" t="s">
        <v>54</v>
      </c>
      <c r="G3" s="10" t="s">
        <v>55</v>
      </c>
      <c r="H3" s="10" t="s">
        <v>56</v>
      </c>
      <c r="I3" s="10" t="s">
        <v>57</v>
      </c>
      <c r="J3" s="10" t="s">
        <v>58</v>
      </c>
    </row>
    <row r="4" customFormat="false" ht="15" hidden="false" customHeight="false" outlineLevel="0" collapsed="false">
      <c r="A4" s="11"/>
      <c r="B4" s="12" t="s">
        <v>59</v>
      </c>
      <c r="C4" s="11"/>
      <c r="D4" s="11"/>
      <c r="E4" s="11"/>
      <c r="F4" s="11"/>
      <c r="G4" s="11"/>
      <c r="H4" s="11"/>
      <c r="I4" s="11"/>
      <c r="J4" s="11"/>
    </row>
    <row r="5" customFormat="false" ht="23.85" hidden="false" customHeight="false" outlineLevel="0" collapsed="false">
      <c r="A5" s="13" t="n">
        <v>1</v>
      </c>
      <c r="B5" s="4" t="s">
        <v>60</v>
      </c>
      <c r="C5" s="8" t="s">
        <v>61</v>
      </c>
      <c r="D5" s="8" t="s">
        <v>62</v>
      </c>
      <c r="E5" s="13" t="s">
        <v>63</v>
      </c>
      <c r="F5" s="14" t="n">
        <v>2</v>
      </c>
      <c r="G5" s="15" t="n">
        <v>125000</v>
      </c>
      <c r="H5" s="16" t="n">
        <f aca="false">F5*G5</f>
        <v>250000</v>
      </c>
      <c r="I5" s="8" t="s">
        <v>64</v>
      </c>
      <c r="J5" s="8" t="s">
        <v>65</v>
      </c>
    </row>
    <row r="6" customFormat="false" ht="15" hidden="false" customHeight="false" outlineLevel="0" collapsed="false">
      <c r="A6" s="13" t="n">
        <v>2</v>
      </c>
      <c r="B6" s="4" t="s">
        <v>66</v>
      </c>
      <c r="C6" s="8"/>
      <c r="D6" s="8" t="s">
        <v>67</v>
      </c>
      <c r="E6" s="13" t="s">
        <v>68</v>
      </c>
      <c r="F6" s="14" t="n">
        <v>2</v>
      </c>
      <c r="G6" s="15" t="n">
        <v>30000</v>
      </c>
      <c r="H6" s="16" t="n">
        <f aca="false">F6*G6</f>
        <v>60000</v>
      </c>
      <c r="I6" s="8" t="s">
        <v>69</v>
      </c>
      <c r="J6" s="8"/>
    </row>
    <row r="7" customFormat="false" ht="35.05" hidden="false" customHeight="false" outlineLevel="0" collapsed="false">
      <c r="A7" s="13" t="n">
        <v>3</v>
      </c>
      <c r="B7" s="4" t="s">
        <v>70</v>
      </c>
      <c r="C7" s="8" t="s">
        <v>71</v>
      </c>
      <c r="D7" s="8" t="s">
        <v>72</v>
      </c>
      <c r="E7" s="13" t="s">
        <v>63</v>
      </c>
      <c r="F7" s="14" t="n">
        <v>1</v>
      </c>
      <c r="G7" s="15" t="n">
        <v>115000</v>
      </c>
      <c r="H7" s="16" t="n">
        <f aca="false">F7*G7</f>
        <v>115000</v>
      </c>
      <c r="I7" s="8" t="s">
        <v>73</v>
      </c>
      <c r="J7" s="8" t="s">
        <v>74</v>
      </c>
    </row>
    <row r="8" customFormat="false" ht="23.85" hidden="false" customHeight="false" outlineLevel="0" collapsed="false">
      <c r="A8" s="13" t="n">
        <v>4</v>
      </c>
      <c r="B8" s="4" t="s">
        <v>75</v>
      </c>
      <c r="C8" s="8" t="s">
        <v>76</v>
      </c>
      <c r="D8" s="8" t="s">
        <v>77</v>
      </c>
      <c r="E8" s="13" t="s">
        <v>68</v>
      </c>
      <c r="F8" s="14" t="n">
        <v>1</v>
      </c>
      <c r="G8" s="15" t="n">
        <v>25000</v>
      </c>
      <c r="H8" s="16" t="n">
        <f aca="false">F8*G8</f>
        <v>25000</v>
      </c>
      <c r="I8" s="8" t="s">
        <v>78</v>
      </c>
      <c r="J8" s="8"/>
    </row>
    <row r="9" customFormat="false" ht="15" hidden="false" customHeight="false" outlineLevel="0" collapsed="false">
      <c r="A9" s="13" t="n">
        <v>5</v>
      </c>
      <c r="B9" s="4" t="s">
        <v>79</v>
      </c>
      <c r="C9" s="8" t="s">
        <v>80</v>
      </c>
      <c r="D9" s="8" t="s">
        <v>81</v>
      </c>
      <c r="E9" s="13" t="s">
        <v>68</v>
      </c>
      <c r="F9" s="14" t="n">
        <v>1</v>
      </c>
      <c r="G9" s="15" t="n">
        <v>18000</v>
      </c>
      <c r="H9" s="16" t="n">
        <f aca="false">F9*G9</f>
        <v>18000</v>
      </c>
      <c r="I9" s="8" t="s">
        <v>73</v>
      </c>
      <c r="J9" s="8"/>
    </row>
    <row r="10" customFormat="false" ht="23.85" hidden="false" customHeight="false" outlineLevel="0" collapsed="false">
      <c r="A10" s="13" t="n">
        <v>6</v>
      </c>
      <c r="B10" s="4" t="s">
        <v>82</v>
      </c>
      <c r="C10" s="8" t="s">
        <v>83</v>
      </c>
      <c r="D10" s="8" t="s">
        <v>84</v>
      </c>
      <c r="E10" s="13" t="s">
        <v>63</v>
      </c>
      <c r="F10" s="14" t="n">
        <v>1</v>
      </c>
      <c r="G10" s="15" t="n">
        <v>70000</v>
      </c>
      <c r="H10" s="16" t="n">
        <f aca="false">F10*G10</f>
        <v>70000</v>
      </c>
      <c r="I10" s="8" t="s">
        <v>85</v>
      </c>
      <c r="J10" s="8"/>
    </row>
    <row r="11" customFormat="false" ht="23.85" hidden="false" customHeight="false" outlineLevel="0" collapsed="false">
      <c r="A11" s="13" t="n">
        <v>7</v>
      </c>
      <c r="B11" s="4" t="s">
        <v>86</v>
      </c>
      <c r="C11" s="8" t="s">
        <v>87</v>
      </c>
      <c r="D11" s="8"/>
      <c r="E11" s="13" t="s">
        <v>63</v>
      </c>
      <c r="F11" s="14" t="n">
        <v>1</v>
      </c>
      <c r="G11" s="15" t="n">
        <v>30000</v>
      </c>
      <c r="H11" s="16" t="n">
        <f aca="false">F11*G11</f>
        <v>30000</v>
      </c>
      <c r="I11" s="8" t="s">
        <v>73</v>
      </c>
      <c r="J11" s="8"/>
    </row>
    <row r="12" customFormat="false" ht="23.85" hidden="false" customHeight="false" outlineLevel="0" collapsed="false">
      <c r="A12" s="13" t="n">
        <v>8</v>
      </c>
      <c r="B12" s="4" t="s">
        <v>88</v>
      </c>
      <c r="C12" s="8"/>
      <c r="D12" s="8"/>
      <c r="E12" s="13" t="s">
        <v>63</v>
      </c>
      <c r="F12" s="14" t="n">
        <v>1</v>
      </c>
      <c r="G12" s="15" t="n">
        <v>20000</v>
      </c>
      <c r="H12" s="16" t="n">
        <f aca="false">F12*G12</f>
        <v>20000</v>
      </c>
      <c r="I12" s="8" t="s">
        <v>73</v>
      </c>
      <c r="J12" s="8"/>
    </row>
    <row r="13" customFormat="false" ht="23.85" hidden="false" customHeight="false" outlineLevel="0" collapsed="false">
      <c r="A13" s="13" t="n">
        <v>9</v>
      </c>
      <c r="B13" s="4" t="s">
        <v>89</v>
      </c>
      <c r="C13" s="8" t="s">
        <v>90</v>
      </c>
      <c r="D13" s="8" t="s">
        <v>91</v>
      </c>
      <c r="E13" s="13" t="s">
        <v>92</v>
      </c>
      <c r="F13" s="14" t="n">
        <v>1</v>
      </c>
      <c r="G13" s="15" t="n">
        <v>30000</v>
      </c>
      <c r="H13" s="16" t="n">
        <f aca="false">F13*G13</f>
        <v>30000</v>
      </c>
      <c r="I13" s="8" t="s">
        <v>73</v>
      </c>
      <c r="J13" s="8"/>
    </row>
    <row r="14" customFormat="false" ht="15" hidden="false" customHeight="false" outlineLevel="0" collapsed="false">
      <c r="A14" s="11"/>
      <c r="B14" s="12" t="s">
        <v>93</v>
      </c>
      <c r="C14" s="11"/>
      <c r="D14" s="11"/>
      <c r="E14" s="11"/>
      <c r="F14" s="11"/>
      <c r="G14" s="11"/>
      <c r="H14" s="11"/>
      <c r="I14" s="11"/>
      <c r="J14" s="11"/>
    </row>
    <row r="15" customFormat="false" ht="35.05" hidden="false" customHeight="false" outlineLevel="0" collapsed="false">
      <c r="A15" s="13" t="n">
        <v>10</v>
      </c>
      <c r="B15" s="4" t="s">
        <v>94</v>
      </c>
      <c r="C15" s="8" t="s">
        <v>95</v>
      </c>
      <c r="D15" s="8" t="s">
        <v>96</v>
      </c>
      <c r="E15" s="13" t="s">
        <v>68</v>
      </c>
      <c r="F15" s="14" t="n">
        <v>1</v>
      </c>
      <c r="G15" s="15" t="n">
        <v>400000</v>
      </c>
      <c r="H15" s="16" t="n">
        <f aca="false">F15*G15</f>
        <v>400000</v>
      </c>
      <c r="I15" s="8" t="s">
        <v>97</v>
      </c>
      <c r="J15" s="8"/>
    </row>
    <row r="16" customFormat="false" ht="15" hidden="false" customHeight="false" outlineLevel="0" collapsed="false">
      <c r="A16" s="13" t="n">
        <v>11</v>
      </c>
      <c r="B16" s="4" t="s">
        <v>98</v>
      </c>
      <c r="C16" s="8" t="s">
        <v>99</v>
      </c>
      <c r="D16" s="8" t="s">
        <v>100</v>
      </c>
      <c r="E16" s="13" t="s">
        <v>68</v>
      </c>
      <c r="F16" s="14" t="n">
        <v>1</v>
      </c>
      <c r="G16" s="15" t="n">
        <v>45000</v>
      </c>
      <c r="H16" s="16" t="n">
        <f aca="false">F16*G16</f>
        <v>45000</v>
      </c>
      <c r="I16" s="8" t="s">
        <v>73</v>
      </c>
      <c r="J16" s="8"/>
    </row>
    <row r="17" customFormat="false" ht="15" hidden="false" customHeight="false" outlineLevel="0" collapsed="false">
      <c r="A17" s="13" t="n">
        <v>12</v>
      </c>
      <c r="B17" s="4" t="s">
        <v>101</v>
      </c>
      <c r="C17" s="8"/>
      <c r="D17" s="8" t="s">
        <v>102</v>
      </c>
      <c r="E17" s="13" t="s">
        <v>68</v>
      </c>
      <c r="F17" s="14" t="n">
        <v>1</v>
      </c>
      <c r="G17" s="15" t="n">
        <v>17000</v>
      </c>
      <c r="H17" s="16" t="n">
        <f aca="false">F17*G17</f>
        <v>17000</v>
      </c>
      <c r="I17" s="8" t="s">
        <v>103</v>
      </c>
      <c r="J17" s="8"/>
    </row>
    <row r="18" customFormat="false" ht="15" hidden="false" customHeight="false" outlineLevel="0" collapsed="false">
      <c r="A18" s="13" t="n">
        <v>13</v>
      </c>
      <c r="B18" s="4" t="s">
        <v>104</v>
      </c>
      <c r="C18" s="8"/>
      <c r="D18" s="8" t="s">
        <v>105</v>
      </c>
      <c r="E18" s="13" t="s">
        <v>63</v>
      </c>
      <c r="F18" s="14" t="n">
        <v>1</v>
      </c>
      <c r="G18" s="15" t="n">
        <v>8000</v>
      </c>
      <c r="H18" s="16" t="n">
        <f aca="false">F18*G18</f>
        <v>8000</v>
      </c>
      <c r="I18" s="8" t="s">
        <v>73</v>
      </c>
      <c r="J18" s="8"/>
    </row>
    <row r="19" customFormat="false" ht="15" hidden="false" customHeight="false" outlineLevel="0" collapsed="false">
      <c r="A19" s="11"/>
      <c r="B19" s="12" t="s">
        <v>106</v>
      </c>
      <c r="C19" s="11"/>
      <c r="D19" s="11"/>
      <c r="E19" s="11"/>
      <c r="F19" s="11"/>
      <c r="G19" s="11"/>
      <c r="H19" s="11"/>
      <c r="I19" s="11"/>
      <c r="J19" s="11"/>
    </row>
    <row r="20" customFormat="false" ht="23.85" hidden="false" customHeight="false" outlineLevel="0" collapsed="false">
      <c r="A20" s="13" t="n">
        <v>14</v>
      </c>
      <c r="B20" s="4" t="s">
        <v>107</v>
      </c>
      <c r="C20" s="8" t="s">
        <v>108</v>
      </c>
      <c r="D20" s="8" t="s">
        <v>109</v>
      </c>
      <c r="E20" s="13" t="s">
        <v>63</v>
      </c>
      <c r="F20" s="14" t="n">
        <v>1</v>
      </c>
      <c r="G20" s="15" t="n">
        <v>10000</v>
      </c>
      <c r="H20" s="16" t="n">
        <f aca="false">F20*G20</f>
        <v>10000</v>
      </c>
      <c r="I20" s="8" t="s">
        <v>110</v>
      </c>
      <c r="J20" s="8"/>
    </row>
    <row r="21" customFormat="false" ht="35.05" hidden="false" customHeight="false" outlineLevel="0" collapsed="false">
      <c r="A21" s="13" t="n">
        <v>15</v>
      </c>
      <c r="B21" s="4" t="s">
        <v>111</v>
      </c>
      <c r="C21" s="8" t="s">
        <v>112</v>
      </c>
      <c r="D21" s="8" t="s">
        <v>113</v>
      </c>
      <c r="E21" s="13" t="s">
        <v>68</v>
      </c>
      <c r="F21" s="14" t="n">
        <v>1</v>
      </c>
      <c r="G21" s="15" t="n">
        <v>58000</v>
      </c>
      <c r="H21" s="16" t="n">
        <f aca="false">F21*G21</f>
        <v>58000</v>
      </c>
      <c r="I21" s="8" t="s">
        <v>114</v>
      </c>
      <c r="J21" s="8" t="s">
        <v>115</v>
      </c>
    </row>
    <row r="22" customFormat="false" ht="23.85" hidden="false" customHeight="false" outlineLevel="0" collapsed="false">
      <c r="A22" s="13" t="n">
        <v>16</v>
      </c>
      <c r="B22" s="4" t="s">
        <v>116</v>
      </c>
      <c r="C22" s="8" t="s">
        <v>117</v>
      </c>
      <c r="D22" s="8" t="s">
        <v>118</v>
      </c>
      <c r="E22" s="13" t="s">
        <v>63</v>
      </c>
      <c r="F22" s="14" t="n">
        <v>1</v>
      </c>
      <c r="G22" s="15" t="n">
        <v>18000</v>
      </c>
      <c r="H22" s="16" t="n">
        <f aca="false">F22*G22</f>
        <v>18000</v>
      </c>
      <c r="I22" s="8" t="s">
        <v>73</v>
      </c>
      <c r="J22" s="8"/>
    </row>
    <row r="23" customFormat="false" ht="23.85" hidden="false" customHeight="false" outlineLevel="0" collapsed="false">
      <c r="A23" s="13" t="n">
        <v>17</v>
      </c>
      <c r="B23" s="4" t="s">
        <v>119</v>
      </c>
      <c r="C23" s="8" t="s">
        <v>120</v>
      </c>
      <c r="D23" s="8" t="s">
        <v>121</v>
      </c>
      <c r="E23" s="13" t="s">
        <v>63</v>
      </c>
      <c r="F23" s="14" t="n">
        <v>1</v>
      </c>
      <c r="G23" s="15" t="n">
        <v>8000</v>
      </c>
      <c r="H23" s="16" t="n">
        <f aca="false">F23*G23</f>
        <v>8000</v>
      </c>
      <c r="I23" s="8" t="s">
        <v>73</v>
      </c>
      <c r="J23" s="8"/>
    </row>
    <row r="24" customFormat="false" ht="15" hidden="false" customHeight="false" outlineLevel="0" collapsed="false">
      <c r="A24" s="13" t="n">
        <v>18</v>
      </c>
      <c r="B24" s="4" t="s">
        <v>122</v>
      </c>
      <c r="C24" s="8" t="s">
        <v>123</v>
      </c>
      <c r="D24" s="8" t="s">
        <v>124</v>
      </c>
      <c r="E24" s="13" t="s">
        <v>68</v>
      </c>
      <c r="F24" s="14" t="n">
        <v>1</v>
      </c>
      <c r="G24" s="15" t="n">
        <v>20000</v>
      </c>
      <c r="H24" s="16" t="n">
        <f aca="false">F24*G24</f>
        <v>20000</v>
      </c>
      <c r="I24" s="8" t="s">
        <v>125</v>
      </c>
      <c r="J24" s="8"/>
    </row>
    <row r="25" customFormat="false" ht="15" hidden="false" customHeight="false" outlineLevel="0" collapsed="false">
      <c r="A25" s="17"/>
      <c r="B25" s="18" t="s">
        <v>126</v>
      </c>
      <c r="C25" s="17"/>
      <c r="D25" s="17"/>
      <c r="E25" s="17"/>
      <c r="F25" s="17"/>
      <c r="G25" s="17"/>
      <c r="H25" s="19" t="n">
        <f aca="false">H5+H6+H7+H8+H9+H10+H11+H12+H13+H15+H16+H17+H18+H20+H21+H22+H23+H24</f>
        <v>1202000</v>
      </c>
      <c r="I25" s="17"/>
      <c r="J25" s="17"/>
    </row>
    <row r="26" customFormat="false" ht="15" hidden="false" customHeight="false" outlineLevel="0" collapsed="false">
      <c r="A26" s="20"/>
      <c r="B26" s="21" t="s">
        <v>127</v>
      </c>
      <c r="C26" s="20"/>
      <c r="D26" s="20"/>
      <c r="E26" s="20"/>
      <c r="F26" s="20"/>
      <c r="G26" s="20"/>
      <c r="H26" s="22" t="n">
        <f aca="false">ROUND(H25*0.1,-3)</f>
        <v>120000</v>
      </c>
      <c r="I26" s="20"/>
      <c r="J26" s="20"/>
    </row>
    <row r="27" customFormat="false" ht="15" hidden="false" customHeight="false" outlineLevel="0" collapsed="false">
      <c r="A27" s="17"/>
      <c r="B27" s="23" t="s">
        <v>128</v>
      </c>
      <c r="C27" s="17"/>
      <c r="D27" s="17"/>
      <c r="E27" s="17"/>
      <c r="F27" s="17"/>
      <c r="G27" s="17"/>
      <c r="H27" s="24" t="n">
        <f aca="false">H25+H26</f>
        <v>1322000</v>
      </c>
      <c r="I27" s="17"/>
      <c r="J27" s="17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6"/>
  </cols>
  <sheetData>
    <row r="1" customFormat="false" ht="16.15" hidden="false" customHeight="false" outlineLevel="0" collapsed="false">
      <c r="A1" s="9" t="s">
        <v>129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27.75" hidden="false" customHeight="true" outlineLevel="0" collapsed="false">
      <c r="A2" s="2" t="s">
        <v>130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0" t="s">
        <v>49</v>
      </c>
      <c r="B3" s="10" t="s">
        <v>50</v>
      </c>
      <c r="C3" s="10" t="s">
        <v>51</v>
      </c>
      <c r="D3" s="10" t="s">
        <v>52</v>
      </c>
      <c r="E3" s="10" t="s">
        <v>53</v>
      </c>
      <c r="F3" s="10" t="s">
        <v>54</v>
      </c>
      <c r="G3" s="10" t="s">
        <v>55</v>
      </c>
      <c r="H3" s="10" t="s">
        <v>56</v>
      </c>
      <c r="I3" s="10" t="s">
        <v>57</v>
      </c>
      <c r="J3" s="10" t="s">
        <v>58</v>
      </c>
    </row>
    <row r="4" customFormat="false" ht="15" hidden="false" customHeight="false" outlineLevel="0" collapsed="false">
      <c r="A4" s="11"/>
      <c r="B4" s="12" t="s">
        <v>131</v>
      </c>
      <c r="C4" s="11"/>
      <c r="D4" s="11"/>
      <c r="E4" s="11"/>
      <c r="F4" s="11"/>
      <c r="G4" s="11"/>
      <c r="H4" s="11"/>
      <c r="I4" s="11"/>
      <c r="J4" s="11"/>
    </row>
    <row r="5" customFormat="false" ht="46.25" hidden="false" customHeight="false" outlineLevel="0" collapsed="false">
      <c r="A5" s="13" t="n">
        <v>1</v>
      </c>
      <c r="B5" s="4" t="s">
        <v>132</v>
      </c>
      <c r="C5" s="8" t="s">
        <v>133</v>
      </c>
      <c r="D5" s="8" t="s">
        <v>134</v>
      </c>
      <c r="E5" s="13" t="s">
        <v>63</v>
      </c>
      <c r="F5" s="14" t="n">
        <v>2</v>
      </c>
      <c r="G5" s="15" t="n">
        <v>182000</v>
      </c>
      <c r="H5" s="16" t="n">
        <f aca="false">F5*G5</f>
        <v>364000</v>
      </c>
      <c r="I5" s="8" t="s">
        <v>135</v>
      </c>
      <c r="J5" s="8" t="s">
        <v>65</v>
      </c>
    </row>
    <row r="6" customFormat="false" ht="15" hidden="false" customHeight="false" outlineLevel="0" collapsed="false">
      <c r="A6" s="13" t="n">
        <v>2</v>
      </c>
      <c r="B6" s="4" t="s">
        <v>136</v>
      </c>
      <c r="C6" s="8" t="s">
        <v>137</v>
      </c>
      <c r="D6" s="8" t="s">
        <v>67</v>
      </c>
      <c r="E6" s="13" t="s">
        <v>68</v>
      </c>
      <c r="F6" s="14" t="n">
        <v>2</v>
      </c>
      <c r="G6" s="15" t="n">
        <v>40000</v>
      </c>
      <c r="H6" s="16" t="n">
        <f aca="false">F6*G6</f>
        <v>80000</v>
      </c>
      <c r="I6" s="8" t="s">
        <v>69</v>
      </c>
      <c r="J6" s="8"/>
    </row>
    <row r="7" customFormat="false" ht="57.45" hidden="false" customHeight="false" outlineLevel="0" collapsed="false">
      <c r="A7" s="13" t="n">
        <v>3</v>
      </c>
      <c r="B7" s="4" t="s">
        <v>138</v>
      </c>
      <c r="C7" s="8" t="s">
        <v>139</v>
      </c>
      <c r="D7" s="8" t="s">
        <v>140</v>
      </c>
      <c r="E7" s="13" t="s">
        <v>68</v>
      </c>
      <c r="F7" s="14" t="n">
        <v>1</v>
      </c>
      <c r="G7" s="15" t="n">
        <v>550000</v>
      </c>
      <c r="H7" s="16" t="n">
        <f aca="false">F7*G7</f>
        <v>550000</v>
      </c>
      <c r="I7" s="8" t="s">
        <v>141</v>
      </c>
      <c r="J7" s="8" t="s">
        <v>142</v>
      </c>
    </row>
    <row r="8" customFormat="false" ht="15" hidden="false" customHeight="false" outlineLevel="0" collapsed="false">
      <c r="A8" s="13" t="n">
        <v>4</v>
      </c>
      <c r="B8" s="4" t="s">
        <v>143</v>
      </c>
      <c r="C8" s="8" t="s">
        <v>144</v>
      </c>
      <c r="D8" s="8" t="s">
        <v>145</v>
      </c>
      <c r="E8" s="13" t="s">
        <v>68</v>
      </c>
      <c r="F8" s="14" t="n">
        <v>1</v>
      </c>
      <c r="G8" s="15" t="n">
        <v>70000</v>
      </c>
      <c r="H8" s="16" t="n">
        <f aca="false">F8*G8</f>
        <v>70000</v>
      </c>
      <c r="I8" s="8" t="s">
        <v>146</v>
      </c>
      <c r="J8" s="8"/>
    </row>
    <row r="9" customFormat="false" ht="35.05" hidden="false" customHeight="false" outlineLevel="0" collapsed="false">
      <c r="A9" s="13" t="n">
        <v>5</v>
      </c>
      <c r="B9" s="4" t="s">
        <v>147</v>
      </c>
      <c r="C9" s="8" t="s">
        <v>148</v>
      </c>
      <c r="D9" s="8" t="s">
        <v>149</v>
      </c>
      <c r="E9" s="13" t="s">
        <v>63</v>
      </c>
      <c r="F9" s="14" t="n">
        <v>1</v>
      </c>
      <c r="G9" s="15" t="n">
        <v>80000</v>
      </c>
      <c r="H9" s="16" t="n">
        <f aca="false">F9*G9</f>
        <v>80000</v>
      </c>
      <c r="I9" s="8" t="s">
        <v>150</v>
      </c>
      <c r="J9" s="8"/>
    </row>
    <row r="10" customFormat="false" ht="23.85" hidden="false" customHeight="false" outlineLevel="0" collapsed="false">
      <c r="A10" s="13" t="n">
        <v>6</v>
      </c>
      <c r="B10" s="4" t="s">
        <v>86</v>
      </c>
      <c r="C10" s="8" t="s">
        <v>151</v>
      </c>
      <c r="D10" s="8"/>
      <c r="E10" s="13" t="s">
        <v>63</v>
      </c>
      <c r="F10" s="14" t="n">
        <v>1</v>
      </c>
      <c r="G10" s="15" t="n">
        <v>50000</v>
      </c>
      <c r="H10" s="16" t="n">
        <f aca="false">F10*G10</f>
        <v>50000</v>
      </c>
      <c r="I10" s="8" t="s">
        <v>152</v>
      </c>
      <c r="J10" s="8"/>
    </row>
    <row r="11" customFormat="false" ht="23.85" hidden="false" customHeight="false" outlineLevel="0" collapsed="false">
      <c r="A11" s="13" t="n">
        <v>7</v>
      </c>
      <c r="B11" s="4" t="s">
        <v>153</v>
      </c>
      <c r="C11" s="8"/>
      <c r="D11" s="8"/>
      <c r="E11" s="13" t="s">
        <v>63</v>
      </c>
      <c r="F11" s="14" t="n">
        <v>1</v>
      </c>
      <c r="G11" s="15" t="n">
        <v>30000</v>
      </c>
      <c r="H11" s="16" t="n">
        <f aca="false">F11*G11</f>
        <v>30000</v>
      </c>
      <c r="I11" s="8" t="s">
        <v>73</v>
      </c>
      <c r="J11" s="8"/>
    </row>
    <row r="12" customFormat="false" ht="23.85" hidden="false" customHeight="false" outlineLevel="0" collapsed="false">
      <c r="A12" s="13" t="n">
        <v>8</v>
      </c>
      <c r="B12" s="4" t="s">
        <v>154</v>
      </c>
      <c r="C12" s="8" t="s">
        <v>155</v>
      </c>
      <c r="D12" s="8" t="s">
        <v>91</v>
      </c>
      <c r="E12" s="13" t="s">
        <v>92</v>
      </c>
      <c r="F12" s="14" t="n">
        <v>1</v>
      </c>
      <c r="G12" s="15" t="n">
        <v>60000</v>
      </c>
      <c r="H12" s="16" t="n">
        <f aca="false">F12*G12</f>
        <v>60000</v>
      </c>
      <c r="I12" s="8" t="s">
        <v>73</v>
      </c>
      <c r="J12" s="8" t="s">
        <v>156</v>
      </c>
    </row>
    <row r="13" customFormat="false" ht="15" hidden="false" customHeight="false" outlineLevel="0" collapsed="false">
      <c r="A13" s="11"/>
      <c r="B13" s="12" t="s">
        <v>157</v>
      </c>
      <c r="C13" s="11"/>
      <c r="D13" s="11"/>
      <c r="E13" s="11"/>
      <c r="F13" s="11"/>
      <c r="G13" s="11"/>
      <c r="H13" s="11"/>
      <c r="I13" s="11"/>
      <c r="J13" s="11"/>
    </row>
    <row r="14" customFormat="false" ht="35.05" hidden="false" customHeight="false" outlineLevel="0" collapsed="false">
      <c r="A14" s="13" t="n">
        <v>9</v>
      </c>
      <c r="B14" s="4" t="s">
        <v>158</v>
      </c>
      <c r="C14" s="8" t="s">
        <v>159</v>
      </c>
      <c r="D14" s="8" t="s">
        <v>160</v>
      </c>
      <c r="E14" s="13" t="s">
        <v>68</v>
      </c>
      <c r="F14" s="14" t="n">
        <v>1</v>
      </c>
      <c r="G14" s="15" t="n">
        <v>450000</v>
      </c>
      <c r="H14" s="16" t="n">
        <f aca="false">F14*G14</f>
        <v>450000</v>
      </c>
      <c r="I14" s="8" t="s">
        <v>161</v>
      </c>
      <c r="J14" s="8"/>
    </row>
    <row r="15" customFormat="false" ht="15" hidden="false" customHeight="false" outlineLevel="0" collapsed="false">
      <c r="A15" s="13" t="n">
        <v>10</v>
      </c>
      <c r="B15" s="4" t="s">
        <v>98</v>
      </c>
      <c r="C15" s="8" t="s">
        <v>162</v>
      </c>
      <c r="D15" s="8" t="s">
        <v>100</v>
      </c>
      <c r="E15" s="13" t="s">
        <v>68</v>
      </c>
      <c r="F15" s="14" t="n">
        <v>2</v>
      </c>
      <c r="G15" s="15" t="n">
        <v>45000</v>
      </c>
      <c r="H15" s="16" t="n">
        <f aca="false">F15*G15</f>
        <v>90000</v>
      </c>
      <c r="I15" s="8" t="s">
        <v>73</v>
      </c>
      <c r="J15" s="8"/>
    </row>
    <row r="16" customFormat="false" ht="15" hidden="false" customHeight="false" outlineLevel="0" collapsed="false">
      <c r="A16" s="13" t="n">
        <v>11</v>
      </c>
      <c r="B16" s="4" t="s">
        <v>101</v>
      </c>
      <c r="C16" s="8"/>
      <c r="D16" s="8" t="s">
        <v>102</v>
      </c>
      <c r="E16" s="13" t="s">
        <v>68</v>
      </c>
      <c r="F16" s="14" t="n">
        <v>1</v>
      </c>
      <c r="G16" s="15" t="n">
        <v>17000</v>
      </c>
      <c r="H16" s="16" t="n">
        <f aca="false">F16*G16</f>
        <v>17000</v>
      </c>
      <c r="I16" s="8" t="s">
        <v>103</v>
      </c>
      <c r="J16" s="8"/>
    </row>
    <row r="17" customFormat="false" ht="15" hidden="false" customHeight="false" outlineLevel="0" collapsed="false">
      <c r="A17" s="13" t="n">
        <v>12</v>
      </c>
      <c r="B17" s="4" t="s">
        <v>104</v>
      </c>
      <c r="C17" s="8"/>
      <c r="D17" s="8" t="s">
        <v>163</v>
      </c>
      <c r="E17" s="13" t="s">
        <v>63</v>
      </c>
      <c r="F17" s="14" t="n">
        <v>1</v>
      </c>
      <c r="G17" s="15" t="n">
        <v>15000</v>
      </c>
      <c r="H17" s="16" t="n">
        <f aca="false">F17*G17</f>
        <v>15000</v>
      </c>
      <c r="I17" s="8" t="s">
        <v>73</v>
      </c>
      <c r="J17" s="8"/>
    </row>
    <row r="18" customFormat="false" ht="23.85" hidden="false" customHeight="false" outlineLevel="0" collapsed="false">
      <c r="A18" s="13" t="n">
        <v>13</v>
      </c>
      <c r="B18" s="4" t="s">
        <v>164</v>
      </c>
      <c r="C18" s="8" t="s">
        <v>165</v>
      </c>
      <c r="D18" s="8" t="s">
        <v>166</v>
      </c>
      <c r="E18" s="13" t="s">
        <v>68</v>
      </c>
      <c r="F18" s="14" t="n">
        <v>1</v>
      </c>
      <c r="G18" s="15" t="n">
        <v>18000</v>
      </c>
      <c r="H18" s="16" t="n">
        <f aca="false">F18*G18</f>
        <v>18000</v>
      </c>
      <c r="I18" s="8" t="s">
        <v>167</v>
      </c>
      <c r="J18" s="8"/>
    </row>
    <row r="19" customFormat="false" ht="15" hidden="false" customHeight="false" outlineLevel="0" collapsed="false">
      <c r="A19" s="11"/>
      <c r="B19" s="12" t="s">
        <v>106</v>
      </c>
      <c r="C19" s="11"/>
      <c r="D19" s="11"/>
      <c r="E19" s="11"/>
      <c r="F19" s="11"/>
      <c r="G19" s="11"/>
      <c r="H19" s="11"/>
      <c r="I19" s="11"/>
      <c r="J19" s="11"/>
    </row>
    <row r="20" customFormat="false" ht="23.85" hidden="false" customHeight="false" outlineLevel="0" collapsed="false">
      <c r="A20" s="13" t="n">
        <v>14</v>
      </c>
      <c r="B20" s="4" t="s">
        <v>107</v>
      </c>
      <c r="C20" s="8" t="s">
        <v>108</v>
      </c>
      <c r="D20" s="8" t="s">
        <v>109</v>
      </c>
      <c r="E20" s="13" t="s">
        <v>63</v>
      </c>
      <c r="F20" s="14" t="n">
        <v>1</v>
      </c>
      <c r="G20" s="15" t="n">
        <v>10000</v>
      </c>
      <c r="H20" s="16" t="n">
        <f aca="false">F20*G20</f>
        <v>10000</v>
      </c>
      <c r="I20" s="8" t="s">
        <v>110</v>
      </c>
      <c r="J20" s="8"/>
    </row>
    <row r="21" customFormat="false" ht="35.05" hidden="false" customHeight="false" outlineLevel="0" collapsed="false">
      <c r="A21" s="13" t="n">
        <v>15</v>
      </c>
      <c r="B21" s="4" t="s">
        <v>111</v>
      </c>
      <c r="C21" s="8" t="s">
        <v>112</v>
      </c>
      <c r="D21" s="8" t="s">
        <v>113</v>
      </c>
      <c r="E21" s="13" t="s">
        <v>68</v>
      </c>
      <c r="F21" s="14" t="n">
        <v>1</v>
      </c>
      <c r="G21" s="15" t="n">
        <v>58000</v>
      </c>
      <c r="H21" s="16" t="n">
        <f aca="false">F21*G21</f>
        <v>58000</v>
      </c>
      <c r="I21" s="8" t="s">
        <v>114</v>
      </c>
      <c r="J21" s="8" t="s">
        <v>115</v>
      </c>
    </row>
    <row r="22" customFormat="false" ht="23.85" hidden="false" customHeight="false" outlineLevel="0" collapsed="false">
      <c r="A22" s="13" t="n">
        <v>16</v>
      </c>
      <c r="B22" s="4" t="s">
        <v>116</v>
      </c>
      <c r="C22" s="8" t="s">
        <v>117</v>
      </c>
      <c r="D22" s="8" t="s">
        <v>118</v>
      </c>
      <c r="E22" s="13" t="s">
        <v>63</v>
      </c>
      <c r="F22" s="14" t="n">
        <v>1</v>
      </c>
      <c r="G22" s="15" t="n">
        <v>18000</v>
      </c>
      <c r="H22" s="16" t="n">
        <f aca="false">F22*G22</f>
        <v>18000</v>
      </c>
      <c r="I22" s="8" t="s">
        <v>73</v>
      </c>
      <c r="J22" s="8"/>
    </row>
    <row r="23" customFormat="false" ht="23.85" hidden="false" customHeight="false" outlineLevel="0" collapsed="false">
      <c r="A23" s="13" t="n">
        <v>17</v>
      </c>
      <c r="B23" s="4" t="s">
        <v>119</v>
      </c>
      <c r="C23" s="8" t="s">
        <v>120</v>
      </c>
      <c r="D23" s="8" t="s">
        <v>121</v>
      </c>
      <c r="E23" s="13" t="s">
        <v>63</v>
      </c>
      <c r="F23" s="14" t="n">
        <v>1</v>
      </c>
      <c r="G23" s="15" t="n">
        <v>8000</v>
      </c>
      <c r="H23" s="16" t="n">
        <f aca="false">F23*G23</f>
        <v>8000</v>
      </c>
      <c r="I23" s="8" t="s">
        <v>73</v>
      </c>
      <c r="J23" s="8"/>
    </row>
    <row r="24" customFormat="false" ht="15" hidden="false" customHeight="false" outlineLevel="0" collapsed="false">
      <c r="A24" s="13" t="n">
        <v>18</v>
      </c>
      <c r="B24" s="4" t="s">
        <v>122</v>
      </c>
      <c r="C24" s="8" t="s">
        <v>123</v>
      </c>
      <c r="D24" s="8" t="s">
        <v>124</v>
      </c>
      <c r="E24" s="13" t="s">
        <v>68</v>
      </c>
      <c r="F24" s="14" t="n">
        <v>1</v>
      </c>
      <c r="G24" s="15" t="n">
        <v>20000</v>
      </c>
      <c r="H24" s="16" t="n">
        <f aca="false">F24*G24</f>
        <v>20000</v>
      </c>
      <c r="I24" s="8" t="s">
        <v>125</v>
      </c>
      <c r="J24" s="8"/>
    </row>
    <row r="25" customFormat="false" ht="15" hidden="false" customHeight="false" outlineLevel="0" collapsed="false">
      <c r="A25" s="17"/>
      <c r="B25" s="18" t="s">
        <v>126</v>
      </c>
      <c r="C25" s="17"/>
      <c r="D25" s="17"/>
      <c r="E25" s="17"/>
      <c r="F25" s="17"/>
      <c r="G25" s="17"/>
      <c r="H25" s="19" t="n">
        <f aca="false">H5+H6+H7+H8+H9+H10+H11+H12+H14+H15+H16+H17+H18+H20+H21+H22+H23+H24</f>
        <v>1988000</v>
      </c>
      <c r="I25" s="17"/>
      <c r="J25" s="17"/>
    </row>
    <row r="26" customFormat="false" ht="15" hidden="false" customHeight="false" outlineLevel="0" collapsed="false">
      <c r="A26" s="20"/>
      <c r="B26" s="21" t="s">
        <v>127</v>
      </c>
      <c r="C26" s="20"/>
      <c r="D26" s="20"/>
      <c r="E26" s="20"/>
      <c r="F26" s="20"/>
      <c r="G26" s="20"/>
      <c r="H26" s="22" t="n">
        <f aca="false">ROUND(H25*0.1,-3)</f>
        <v>199000</v>
      </c>
      <c r="I26" s="20"/>
      <c r="J26" s="20"/>
    </row>
    <row r="27" customFormat="false" ht="15" hidden="false" customHeight="false" outlineLevel="0" collapsed="false">
      <c r="A27" s="17"/>
      <c r="B27" s="23" t="s">
        <v>128</v>
      </c>
      <c r="C27" s="17"/>
      <c r="D27" s="17"/>
      <c r="E27" s="17"/>
      <c r="F27" s="17"/>
      <c r="G27" s="17"/>
      <c r="H27" s="24" t="n">
        <f aca="false">H25+H26</f>
        <v>2187000</v>
      </c>
      <c r="I27" s="17"/>
      <c r="J27" s="17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6"/>
  </cols>
  <sheetData>
    <row r="1" customFormat="false" ht="16.15" hidden="false" customHeight="false" outlineLevel="0" collapsed="false">
      <c r="A1" s="9" t="s">
        <v>168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27.75" hidden="false" customHeight="true" outlineLevel="0" collapsed="false">
      <c r="A2" s="2" t="s">
        <v>169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0" t="s">
        <v>49</v>
      </c>
      <c r="B3" s="10" t="s">
        <v>50</v>
      </c>
      <c r="C3" s="10" t="s">
        <v>51</v>
      </c>
      <c r="D3" s="10" t="s">
        <v>52</v>
      </c>
      <c r="E3" s="10" t="s">
        <v>53</v>
      </c>
      <c r="F3" s="10" t="s">
        <v>54</v>
      </c>
      <c r="G3" s="10" t="s">
        <v>55</v>
      </c>
      <c r="H3" s="10" t="s">
        <v>56</v>
      </c>
      <c r="I3" s="10" t="s">
        <v>57</v>
      </c>
      <c r="J3" s="10" t="s">
        <v>58</v>
      </c>
    </row>
    <row r="4" customFormat="false" ht="15" hidden="false" customHeight="false" outlineLevel="0" collapsed="false">
      <c r="A4" s="11"/>
      <c r="B4" s="12" t="s">
        <v>131</v>
      </c>
      <c r="C4" s="11"/>
      <c r="D4" s="11"/>
      <c r="E4" s="11"/>
      <c r="F4" s="11"/>
      <c r="G4" s="11"/>
      <c r="H4" s="11"/>
      <c r="I4" s="11"/>
      <c r="J4" s="11"/>
    </row>
    <row r="5" customFormat="false" ht="46.25" hidden="false" customHeight="false" outlineLevel="0" collapsed="false">
      <c r="A5" s="13" t="n">
        <v>1</v>
      </c>
      <c r="B5" s="4" t="s">
        <v>132</v>
      </c>
      <c r="C5" s="8" t="s">
        <v>133</v>
      </c>
      <c r="D5" s="8" t="s">
        <v>134</v>
      </c>
      <c r="E5" s="13" t="s">
        <v>63</v>
      </c>
      <c r="F5" s="14" t="n">
        <v>2</v>
      </c>
      <c r="G5" s="15" t="n">
        <v>182000</v>
      </c>
      <c r="H5" s="16" t="n">
        <f aca="false">F5*G5</f>
        <v>364000</v>
      </c>
      <c r="I5" s="8" t="s">
        <v>135</v>
      </c>
      <c r="J5" s="8" t="s">
        <v>65</v>
      </c>
    </row>
    <row r="6" customFormat="false" ht="15" hidden="false" customHeight="false" outlineLevel="0" collapsed="false">
      <c r="A6" s="13" t="n">
        <v>2</v>
      </c>
      <c r="B6" s="4" t="s">
        <v>136</v>
      </c>
      <c r="C6" s="8" t="s">
        <v>137</v>
      </c>
      <c r="D6" s="8" t="s">
        <v>67</v>
      </c>
      <c r="E6" s="13" t="s">
        <v>68</v>
      </c>
      <c r="F6" s="14" t="n">
        <v>2</v>
      </c>
      <c r="G6" s="15" t="n">
        <v>40000</v>
      </c>
      <c r="H6" s="16" t="n">
        <f aca="false">F6*G6</f>
        <v>80000</v>
      </c>
      <c r="I6" s="8" t="s">
        <v>69</v>
      </c>
      <c r="J6" s="8"/>
    </row>
    <row r="7" customFormat="false" ht="57.45" hidden="false" customHeight="false" outlineLevel="0" collapsed="false">
      <c r="A7" s="13" t="n">
        <v>3</v>
      </c>
      <c r="B7" s="4" t="s">
        <v>138</v>
      </c>
      <c r="C7" s="8" t="s">
        <v>139</v>
      </c>
      <c r="D7" s="8" t="s">
        <v>140</v>
      </c>
      <c r="E7" s="13" t="s">
        <v>68</v>
      </c>
      <c r="F7" s="14" t="n">
        <v>1</v>
      </c>
      <c r="G7" s="15" t="n">
        <v>550000</v>
      </c>
      <c r="H7" s="16" t="n">
        <f aca="false">F7*G7</f>
        <v>550000</v>
      </c>
      <c r="I7" s="8" t="s">
        <v>141</v>
      </c>
      <c r="J7" s="8" t="s">
        <v>142</v>
      </c>
    </row>
    <row r="8" customFormat="false" ht="15" hidden="false" customHeight="false" outlineLevel="0" collapsed="false">
      <c r="A8" s="13" t="n">
        <v>4</v>
      </c>
      <c r="B8" s="4" t="s">
        <v>143</v>
      </c>
      <c r="C8" s="8" t="s">
        <v>144</v>
      </c>
      <c r="D8" s="8" t="s">
        <v>145</v>
      </c>
      <c r="E8" s="13" t="s">
        <v>68</v>
      </c>
      <c r="F8" s="14" t="n">
        <v>1</v>
      </c>
      <c r="G8" s="15" t="n">
        <v>70000</v>
      </c>
      <c r="H8" s="16" t="n">
        <f aca="false">F8*G8</f>
        <v>70000</v>
      </c>
      <c r="I8" s="8" t="s">
        <v>146</v>
      </c>
      <c r="J8" s="8"/>
    </row>
    <row r="9" customFormat="false" ht="35.05" hidden="false" customHeight="false" outlineLevel="0" collapsed="false">
      <c r="A9" s="13" t="n">
        <v>5</v>
      </c>
      <c r="B9" s="4" t="s">
        <v>147</v>
      </c>
      <c r="C9" s="8" t="s">
        <v>148</v>
      </c>
      <c r="D9" s="8" t="s">
        <v>149</v>
      </c>
      <c r="E9" s="13" t="s">
        <v>63</v>
      </c>
      <c r="F9" s="14" t="n">
        <v>1</v>
      </c>
      <c r="G9" s="15" t="n">
        <v>80000</v>
      </c>
      <c r="H9" s="16" t="n">
        <f aca="false">F9*G9</f>
        <v>80000</v>
      </c>
      <c r="I9" s="8" t="s">
        <v>150</v>
      </c>
      <c r="J9" s="8"/>
    </row>
    <row r="10" customFormat="false" ht="23.85" hidden="false" customHeight="false" outlineLevel="0" collapsed="false">
      <c r="A10" s="13" t="n">
        <v>6</v>
      </c>
      <c r="B10" s="4" t="s">
        <v>86</v>
      </c>
      <c r="C10" s="8" t="s">
        <v>151</v>
      </c>
      <c r="D10" s="8"/>
      <c r="E10" s="13" t="s">
        <v>63</v>
      </c>
      <c r="F10" s="14" t="n">
        <v>1</v>
      </c>
      <c r="G10" s="15" t="n">
        <v>50000</v>
      </c>
      <c r="H10" s="16" t="n">
        <f aca="false">F10*G10</f>
        <v>50000</v>
      </c>
      <c r="I10" s="8" t="s">
        <v>152</v>
      </c>
      <c r="J10" s="8"/>
    </row>
    <row r="11" customFormat="false" ht="23.85" hidden="false" customHeight="false" outlineLevel="0" collapsed="false">
      <c r="A11" s="13" t="n">
        <v>7</v>
      </c>
      <c r="B11" s="4" t="s">
        <v>153</v>
      </c>
      <c r="C11" s="8"/>
      <c r="D11" s="8"/>
      <c r="E11" s="13" t="s">
        <v>63</v>
      </c>
      <c r="F11" s="14" t="n">
        <v>1</v>
      </c>
      <c r="G11" s="15" t="n">
        <v>30000</v>
      </c>
      <c r="H11" s="16" t="n">
        <f aca="false">F11*G11</f>
        <v>30000</v>
      </c>
      <c r="I11" s="8" t="s">
        <v>73</v>
      </c>
      <c r="J11" s="8"/>
    </row>
    <row r="12" customFormat="false" ht="23.85" hidden="false" customHeight="false" outlineLevel="0" collapsed="false">
      <c r="A12" s="13" t="n">
        <v>8</v>
      </c>
      <c r="B12" s="4" t="s">
        <v>154</v>
      </c>
      <c r="C12" s="8" t="s">
        <v>155</v>
      </c>
      <c r="D12" s="8" t="s">
        <v>91</v>
      </c>
      <c r="E12" s="13" t="s">
        <v>92</v>
      </c>
      <c r="F12" s="14" t="n">
        <v>1</v>
      </c>
      <c r="G12" s="15" t="n">
        <v>60000</v>
      </c>
      <c r="H12" s="16" t="n">
        <f aca="false">F12*G12</f>
        <v>60000</v>
      </c>
      <c r="I12" s="8" t="s">
        <v>73</v>
      </c>
      <c r="J12" s="8" t="s">
        <v>156</v>
      </c>
    </row>
    <row r="13" customFormat="false" ht="15" hidden="false" customHeight="false" outlineLevel="0" collapsed="false">
      <c r="A13" s="11"/>
      <c r="B13" s="12" t="s">
        <v>170</v>
      </c>
      <c r="C13" s="11"/>
      <c r="D13" s="11"/>
      <c r="E13" s="11"/>
      <c r="F13" s="11"/>
      <c r="G13" s="11"/>
      <c r="H13" s="11"/>
      <c r="I13" s="11"/>
      <c r="J13" s="11"/>
    </row>
    <row r="14" customFormat="false" ht="23.85" hidden="false" customHeight="false" outlineLevel="0" collapsed="false">
      <c r="A14" s="13" t="n">
        <v>9</v>
      </c>
      <c r="B14" s="4" t="s">
        <v>171</v>
      </c>
      <c r="C14" s="8" t="s">
        <v>172</v>
      </c>
      <c r="D14" s="8" t="s">
        <v>173</v>
      </c>
      <c r="E14" s="13" t="s">
        <v>63</v>
      </c>
      <c r="F14" s="14" t="n">
        <v>1</v>
      </c>
      <c r="G14" s="15" t="n">
        <v>200000</v>
      </c>
      <c r="H14" s="16" t="n">
        <f aca="false">F14*G14</f>
        <v>200000</v>
      </c>
      <c r="I14" s="8" t="s">
        <v>174</v>
      </c>
      <c r="J14" s="8"/>
    </row>
    <row r="15" customFormat="false" ht="15" hidden="false" customHeight="false" outlineLevel="0" collapsed="false">
      <c r="A15" s="13" t="n">
        <v>10</v>
      </c>
      <c r="B15" s="4" t="s">
        <v>175</v>
      </c>
      <c r="C15" s="8" t="s">
        <v>176</v>
      </c>
      <c r="D15" s="8" t="s">
        <v>145</v>
      </c>
      <c r="E15" s="13" t="s">
        <v>68</v>
      </c>
      <c r="F15" s="14" t="n">
        <v>1</v>
      </c>
      <c r="G15" s="15" t="n">
        <v>70000</v>
      </c>
      <c r="H15" s="16" t="n">
        <f aca="false">F15*G15</f>
        <v>70000</v>
      </c>
      <c r="I15" s="8" t="s">
        <v>146</v>
      </c>
      <c r="J15" s="8"/>
    </row>
    <row r="16" customFormat="false" ht="15" hidden="false" customHeight="false" outlineLevel="0" collapsed="false">
      <c r="A16" s="11"/>
      <c r="B16" s="12" t="s">
        <v>177</v>
      </c>
      <c r="C16" s="11"/>
      <c r="D16" s="11"/>
      <c r="E16" s="11"/>
      <c r="F16" s="11"/>
      <c r="G16" s="11"/>
      <c r="H16" s="11"/>
      <c r="I16" s="11"/>
      <c r="J16" s="11"/>
    </row>
    <row r="17" customFormat="false" ht="35.05" hidden="false" customHeight="false" outlineLevel="0" collapsed="false">
      <c r="A17" s="13" t="n">
        <v>11</v>
      </c>
      <c r="B17" s="4" t="s">
        <v>158</v>
      </c>
      <c r="C17" s="8" t="s">
        <v>178</v>
      </c>
      <c r="D17" s="8" t="s">
        <v>179</v>
      </c>
      <c r="E17" s="13" t="s">
        <v>68</v>
      </c>
      <c r="F17" s="14" t="n">
        <v>1</v>
      </c>
      <c r="G17" s="15" t="n">
        <v>450000</v>
      </c>
      <c r="H17" s="16" t="n">
        <f aca="false">F17*G17</f>
        <v>450000</v>
      </c>
      <c r="I17" s="8" t="s">
        <v>180</v>
      </c>
      <c r="J17" s="8"/>
    </row>
    <row r="18" customFormat="false" ht="23.85" hidden="false" customHeight="false" outlineLevel="0" collapsed="false">
      <c r="A18" s="13" t="n">
        <v>12</v>
      </c>
      <c r="B18" s="4" t="s">
        <v>181</v>
      </c>
      <c r="C18" s="8" t="s">
        <v>182</v>
      </c>
      <c r="D18" s="8" t="s">
        <v>183</v>
      </c>
      <c r="E18" s="13" t="s">
        <v>68</v>
      </c>
      <c r="F18" s="14" t="n">
        <v>1</v>
      </c>
      <c r="G18" s="15" t="n">
        <v>60000</v>
      </c>
      <c r="H18" s="16" t="n">
        <f aca="false">F18*G18</f>
        <v>60000</v>
      </c>
      <c r="I18" s="8" t="s">
        <v>184</v>
      </c>
      <c r="J18" s="8"/>
    </row>
    <row r="19" customFormat="false" ht="23.85" hidden="false" customHeight="false" outlineLevel="0" collapsed="false">
      <c r="A19" s="13" t="n">
        <v>13</v>
      </c>
      <c r="B19" s="4" t="s">
        <v>185</v>
      </c>
      <c r="C19" s="8" t="s">
        <v>186</v>
      </c>
      <c r="D19" s="8" t="s">
        <v>187</v>
      </c>
      <c r="E19" s="13" t="s">
        <v>63</v>
      </c>
      <c r="F19" s="14" t="n">
        <v>1</v>
      </c>
      <c r="G19" s="15" t="n">
        <v>170000</v>
      </c>
      <c r="H19" s="16" t="n">
        <f aca="false">F19*G19</f>
        <v>170000</v>
      </c>
      <c r="I19" s="8" t="s">
        <v>73</v>
      </c>
      <c r="J19" s="8"/>
    </row>
    <row r="20" customFormat="false" ht="23.85" hidden="false" customHeight="false" outlineLevel="0" collapsed="false">
      <c r="A20" s="13" t="n">
        <v>14</v>
      </c>
      <c r="B20" s="4" t="s">
        <v>188</v>
      </c>
      <c r="C20" s="8" t="s">
        <v>189</v>
      </c>
      <c r="D20" s="8" t="s">
        <v>190</v>
      </c>
      <c r="E20" s="13" t="s">
        <v>63</v>
      </c>
      <c r="F20" s="14" t="n">
        <v>1</v>
      </c>
      <c r="G20" s="15" t="n">
        <v>240000</v>
      </c>
      <c r="H20" s="16" t="n">
        <f aca="false">F20*G20</f>
        <v>240000</v>
      </c>
      <c r="I20" s="8" t="s">
        <v>191</v>
      </c>
      <c r="J20" s="8"/>
    </row>
    <row r="21" customFormat="false" ht="15" hidden="false" customHeight="false" outlineLevel="0" collapsed="false">
      <c r="A21" s="13" t="n">
        <v>15</v>
      </c>
      <c r="B21" s="4" t="s">
        <v>192</v>
      </c>
      <c r="C21" s="8"/>
      <c r="D21" s="8" t="s">
        <v>102</v>
      </c>
      <c r="E21" s="13" t="s">
        <v>68</v>
      </c>
      <c r="F21" s="14" t="n">
        <v>1</v>
      </c>
      <c r="G21" s="15" t="n">
        <v>17000</v>
      </c>
      <c r="H21" s="16" t="n">
        <f aca="false">F21*G21</f>
        <v>17000</v>
      </c>
      <c r="I21" s="8" t="s">
        <v>103</v>
      </c>
      <c r="J21" s="8"/>
    </row>
    <row r="22" customFormat="false" ht="15" hidden="false" customHeight="false" outlineLevel="0" collapsed="false">
      <c r="A22" s="13" t="n">
        <v>16</v>
      </c>
      <c r="B22" s="4" t="s">
        <v>104</v>
      </c>
      <c r="C22" s="8"/>
      <c r="D22" s="8" t="s">
        <v>163</v>
      </c>
      <c r="E22" s="13" t="s">
        <v>63</v>
      </c>
      <c r="F22" s="14" t="n">
        <v>1</v>
      </c>
      <c r="G22" s="15" t="n">
        <v>15000</v>
      </c>
      <c r="H22" s="16" t="n">
        <f aca="false">F22*G22</f>
        <v>15000</v>
      </c>
      <c r="I22" s="8" t="s">
        <v>73</v>
      </c>
      <c r="J22" s="8"/>
    </row>
    <row r="23" customFormat="false" ht="23.85" hidden="false" customHeight="false" outlineLevel="0" collapsed="false">
      <c r="A23" s="13" t="n">
        <v>17</v>
      </c>
      <c r="B23" s="4" t="s">
        <v>193</v>
      </c>
      <c r="C23" s="8" t="s">
        <v>194</v>
      </c>
      <c r="D23" s="8" t="s">
        <v>195</v>
      </c>
      <c r="E23" s="13" t="s">
        <v>63</v>
      </c>
      <c r="F23" s="14" t="n">
        <v>1</v>
      </c>
      <c r="G23" s="15" t="n">
        <v>38000</v>
      </c>
      <c r="H23" s="16" t="n">
        <f aca="false">F23*G23</f>
        <v>38000</v>
      </c>
      <c r="I23" s="8" t="s">
        <v>196</v>
      </c>
      <c r="J23" s="8"/>
    </row>
    <row r="24" customFormat="false" ht="15" hidden="false" customHeight="false" outlineLevel="0" collapsed="false">
      <c r="A24" s="13" t="n">
        <v>18</v>
      </c>
      <c r="B24" s="4" t="s">
        <v>197</v>
      </c>
      <c r="C24" s="8" t="s">
        <v>198</v>
      </c>
      <c r="D24" s="8" t="s">
        <v>199</v>
      </c>
      <c r="E24" s="13" t="s">
        <v>63</v>
      </c>
      <c r="F24" s="14" t="n">
        <v>1</v>
      </c>
      <c r="G24" s="15" t="n">
        <v>30000</v>
      </c>
      <c r="H24" s="16" t="n">
        <f aca="false">F24*G24</f>
        <v>30000</v>
      </c>
      <c r="I24" s="8" t="s">
        <v>73</v>
      </c>
      <c r="J24" s="8" t="s">
        <v>200</v>
      </c>
    </row>
    <row r="25" customFormat="false" ht="15" hidden="false" customHeight="false" outlineLevel="0" collapsed="false">
      <c r="A25" s="11"/>
      <c r="B25" s="12" t="s">
        <v>106</v>
      </c>
      <c r="C25" s="11"/>
      <c r="D25" s="11"/>
      <c r="E25" s="11"/>
      <c r="F25" s="11"/>
      <c r="G25" s="11"/>
      <c r="H25" s="11"/>
      <c r="I25" s="11"/>
      <c r="J25" s="11"/>
    </row>
    <row r="26" customFormat="false" ht="23.85" hidden="false" customHeight="false" outlineLevel="0" collapsed="false">
      <c r="A26" s="13" t="n">
        <v>19</v>
      </c>
      <c r="B26" s="4" t="s">
        <v>107</v>
      </c>
      <c r="C26" s="8" t="s">
        <v>108</v>
      </c>
      <c r="D26" s="8" t="s">
        <v>109</v>
      </c>
      <c r="E26" s="13" t="s">
        <v>63</v>
      </c>
      <c r="F26" s="14" t="n">
        <v>1</v>
      </c>
      <c r="G26" s="15" t="n">
        <v>10000</v>
      </c>
      <c r="H26" s="16" t="n">
        <f aca="false">F26*G26</f>
        <v>10000</v>
      </c>
      <c r="I26" s="8" t="s">
        <v>110</v>
      </c>
      <c r="J26" s="8"/>
    </row>
    <row r="27" customFormat="false" ht="35.05" hidden="false" customHeight="false" outlineLevel="0" collapsed="false">
      <c r="A27" s="13" t="n">
        <v>20</v>
      </c>
      <c r="B27" s="4" t="s">
        <v>111</v>
      </c>
      <c r="C27" s="8" t="s">
        <v>112</v>
      </c>
      <c r="D27" s="8" t="s">
        <v>113</v>
      </c>
      <c r="E27" s="13" t="s">
        <v>68</v>
      </c>
      <c r="F27" s="14" t="n">
        <v>1</v>
      </c>
      <c r="G27" s="15" t="n">
        <v>58000</v>
      </c>
      <c r="H27" s="16" t="n">
        <f aca="false">F27*G27</f>
        <v>58000</v>
      </c>
      <c r="I27" s="8" t="s">
        <v>114</v>
      </c>
      <c r="J27" s="8" t="s">
        <v>115</v>
      </c>
    </row>
    <row r="28" customFormat="false" ht="23.85" hidden="false" customHeight="false" outlineLevel="0" collapsed="false">
      <c r="A28" s="13" t="n">
        <v>21</v>
      </c>
      <c r="B28" s="4" t="s">
        <v>201</v>
      </c>
      <c r="C28" s="8" t="s">
        <v>117</v>
      </c>
      <c r="D28" s="8" t="s">
        <v>202</v>
      </c>
      <c r="E28" s="13" t="s">
        <v>63</v>
      </c>
      <c r="F28" s="14" t="n">
        <v>1</v>
      </c>
      <c r="G28" s="15" t="n">
        <v>49000</v>
      </c>
      <c r="H28" s="16" t="n">
        <f aca="false">F28*G28</f>
        <v>49000</v>
      </c>
      <c r="I28" s="8" t="s">
        <v>203</v>
      </c>
      <c r="J28" s="8"/>
    </row>
    <row r="29" customFormat="false" ht="23.85" hidden="false" customHeight="false" outlineLevel="0" collapsed="false">
      <c r="A29" s="13" t="n">
        <v>22</v>
      </c>
      <c r="B29" s="4" t="s">
        <v>119</v>
      </c>
      <c r="C29" s="8" t="s">
        <v>120</v>
      </c>
      <c r="D29" s="8" t="s">
        <v>121</v>
      </c>
      <c r="E29" s="13" t="s">
        <v>63</v>
      </c>
      <c r="F29" s="14" t="n">
        <v>1</v>
      </c>
      <c r="G29" s="15" t="n">
        <v>8000</v>
      </c>
      <c r="H29" s="16" t="n">
        <f aca="false">F29*G29</f>
        <v>8000</v>
      </c>
      <c r="I29" s="8" t="s">
        <v>73</v>
      </c>
      <c r="J29" s="8"/>
    </row>
    <row r="30" customFormat="false" ht="15" hidden="false" customHeight="false" outlineLevel="0" collapsed="false">
      <c r="A30" s="13" t="n">
        <v>23</v>
      </c>
      <c r="B30" s="4" t="s">
        <v>122</v>
      </c>
      <c r="C30" s="8" t="s">
        <v>123</v>
      </c>
      <c r="D30" s="8" t="s">
        <v>124</v>
      </c>
      <c r="E30" s="13" t="s">
        <v>68</v>
      </c>
      <c r="F30" s="14" t="n">
        <v>1</v>
      </c>
      <c r="G30" s="15" t="n">
        <v>20000</v>
      </c>
      <c r="H30" s="16" t="n">
        <f aca="false">F30*G30</f>
        <v>20000</v>
      </c>
      <c r="I30" s="8" t="s">
        <v>125</v>
      </c>
      <c r="J30" s="8"/>
    </row>
    <row r="31" customFormat="false" ht="15" hidden="false" customHeight="false" outlineLevel="0" collapsed="false">
      <c r="A31" s="17"/>
      <c r="B31" s="18" t="s">
        <v>126</v>
      </c>
      <c r="C31" s="17"/>
      <c r="D31" s="17"/>
      <c r="E31" s="17"/>
      <c r="F31" s="17"/>
      <c r="G31" s="17"/>
      <c r="H31" s="19" t="n">
        <f aca="false">H5+H6+H7+H8+H9+H10+H11+H12+H14+H15+H17+H18+H19+H20+H21+H22+H23+H24+H26+H27+H28+H29+H30</f>
        <v>2719000</v>
      </c>
      <c r="I31" s="17"/>
      <c r="J31" s="17"/>
    </row>
    <row r="32" customFormat="false" ht="15" hidden="false" customHeight="false" outlineLevel="0" collapsed="false">
      <c r="A32" s="20"/>
      <c r="B32" s="21" t="s">
        <v>127</v>
      </c>
      <c r="C32" s="20"/>
      <c r="D32" s="20"/>
      <c r="E32" s="20"/>
      <c r="F32" s="20"/>
      <c r="G32" s="20"/>
      <c r="H32" s="22" t="n">
        <f aca="false">ROUND(H31*0.1,-3)</f>
        <v>272000</v>
      </c>
      <c r="I32" s="20"/>
      <c r="J32" s="20"/>
    </row>
    <row r="33" customFormat="false" ht="15" hidden="false" customHeight="false" outlineLevel="0" collapsed="false">
      <c r="A33" s="17"/>
      <c r="B33" s="23" t="s">
        <v>128</v>
      </c>
      <c r="C33" s="17"/>
      <c r="D33" s="17"/>
      <c r="E33" s="17"/>
      <c r="F33" s="17"/>
      <c r="G33" s="17"/>
      <c r="H33" s="24" t="n">
        <f aca="false">H31+H32</f>
        <v>2991000</v>
      </c>
      <c r="I33" s="17"/>
      <c r="J33" s="17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6"/>
  </cols>
  <sheetData>
    <row r="1" customFormat="false" ht="16.15" hidden="false" customHeight="false" outlineLevel="0" collapsed="false">
      <c r="A1" s="9" t="s">
        <v>204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27.75" hidden="false" customHeight="true" outlineLevel="0" collapsed="false">
      <c r="A2" s="2" t="s">
        <v>205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0" t="s">
        <v>49</v>
      </c>
      <c r="B3" s="10" t="s">
        <v>50</v>
      </c>
      <c r="C3" s="10" t="s">
        <v>51</v>
      </c>
      <c r="D3" s="10" t="s">
        <v>52</v>
      </c>
      <c r="E3" s="10" t="s">
        <v>53</v>
      </c>
      <c r="F3" s="10" t="s">
        <v>54</v>
      </c>
      <c r="G3" s="10" t="s">
        <v>55</v>
      </c>
      <c r="H3" s="10" t="s">
        <v>56</v>
      </c>
      <c r="I3" s="10" t="s">
        <v>57</v>
      </c>
      <c r="J3" s="10" t="s">
        <v>58</v>
      </c>
    </row>
    <row r="4" customFormat="false" ht="15" hidden="false" customHeight="false" outlineLevel="0" collapsed="false">
      <c r="A4" s="11"/>
      <c r="B4" s="12" t="s">
        <v>206</v>
      </c>
      <c r="C4" s="11"/>
      <c r="D4" s="11"/>
      <c r="E4" s="11"/>
      <c r="F4" s="11"/>
      <c r="G4" s="11"/>
      <c r="H4" s="11"/>
      <c r="I4" s="11"/>
      <c r="J4" s="11"/>
    </row>
    <row r="5" customFormat="false" ht="23.85" hidden="false" customHeight="false" outlineLevel="0" collapsed="false">
      <c r="A5" s="13" t="n">
        <v>1</v>
      </c>
      <c r="B5" s="4" t="s">
        <v>207</v>
      </c>
      <c r="C5" s="8" t="s">
        <v>208</v>
      </c>
      <c r="D5" s="8" t="s">
        <v>209</v>
      </c>
      <c r="E5" s="13" t="s">
        <v>210</v>
      </c>
      <c r="F5" s="14" t="n">
        <v>1</v>
      </c>
      <c r="G5" s="15" t="n">
        <v>50400</v>
      </c>
      <c r="H5" s="16" t="n">
        <f aca="false">F5*G5</f>
        <v>50400</v>
      </c>
      <c r="I5" s="8" t="s">
        <v>211</v>
      </c>
      <c r="J5" s="8" t="s">
        <v>212</v>
      </c>
    </row>
    <row r="6" customFormat="false" ht="23.85" hidden="false" customHeight="false" outlineLevel="0" collapsed="false">
      <c r="A6" s="13" t="n">
        <v>2</v>
      </c>
      <c r="B6" s="4" t="s">
        <v>213</v>
      </c>
      <c r="C6" s="8"/>
      <c r="D6" s="8"/>
      <c r="E6" s="13" t="s">
        <v>214</v>
      </c>
      <c r="F6" s="14" t="n">
        <v>1</v>
      </c>
      <c r="G6" s="15" t="n">
        <v>10000</v>
      </c>
      <c r="H6" s="16" t="n">
        <f aca="false">F6*G6</f>
        <v>10000</v>
      </c>
      <c r="I6" s="8" t="s">
        <v>73</v>
      </c>
      <c r="J6" s="8"/>
    </row>
    <row r="7" customFormat="false" ht="23.85" hidden="false" customHeight="false" outlineLevel="0" collapsed="false">
      <c r="A7" s="13" t="n">
        <v>3</v>
      </c>
      <c r="B7" s="4" t="s">
        <v>215</v>
      </c>
      <c r="C7" s="8"/>
      <c r="D7" s="8" t="s">
        <v>216</v>
      </c>
      <c r="E7" s="13" t="s">
        <v>217</v>
      </c>
      <c r="F7" s="14" t="n">
        <v>1</v>
      </c>
      <c r="G7" s="15" t="n">
        <v>8400</v>
      </c>
      <c r="H7" s="16" t="n">
        <f aca="false">F7*G7</f>
        <v>8400</v>
      </c>
      <c r="I7" s="8" t="s">
        <v>218</v>
      </c>
      <c r="J7" s="8"/>
    </row>
    <row r="8" customFormat="false" ht="15" hidden="false" customHeight="false" outlineLevel="0" collapsed="false">
      <c r="A8" s="11"/>
      <c r="B8" s="12" t="s">
        <v>219</v>
      </c>
      <c r="C8" s="11"/>
      <c r="D8" s="11"/>
      <c r="E8" s="11"/>
      <c r="F8" s="11"/>
      <c r="G8" s="11"/>
      <c r="H8" s="11"/>
      <c r="I8" s="11"/>
      <c r="J8" s="11"/>
    </row>
    <row r="9" customFormat="false" ht="23.85" hidden="false" customHeight="false" outlineLevel="0" collapsed="false">
      <c r="A9" s="13" t="n">
        <v>4</v>
      </c>
      <c r="B9" s="4" t="s">
        <v>220</v>
      </c>
      <c r="C9" s="8" t="s">
        <v>221</v>
      </c>
      <c r="D9" s="8" t="s">
        <v>222</v>
      </c>
      <c r="E9" s="13" t="s">
        <v>63</v>
      </c>
      <c r="F9" s="14" t="n">
        <v>1</v>
      </c>
      <c r="G9" s="15" t="n">
        <v>1284000</v>
      </c>
      <c r="H9" s="16" t="n">
        <f aca="false">F9*G9</f>
        <v>1284000</v>
      </c>
      <c r="I9" s="8" t="s">
        <v>223</v>
      </c>
      <c r="J9" s="8"/>
    </row>
    <row r="10" customFormat="false" ht="23.85" hidden="false" customHeight="false" outlineLevel="0" collapsed="false">
      <c r="A10" s="13" t="n">
        <v>5</v>
      </c>
      <c r="B10" s="4" t="s">
        <v>224</v>
      </c>
      <c r="C10" s="8" t="s">
        <v>225</v>
      </c>
      <c r="D10" s="8" t="s">
        <v>226</v>
      </c>
      <c r="E10" s="13" t="s">
        <v>63</v>
      </c>
      <c r="F10" s="14" t="n">
        <v>1</v>
      </c>
      <c r="G10" s="15" t="n">
        <v>618000</v>
      </c>
      <c r="H10" s="16" t="n">
        <f aca="false">F10*G10</f>
        <v>618000</v>
      </c>
      <c r="I10" s="8" t="s">
        <v>227</v>
      </c>
      <c r="J10" s="8"/>
    </row>
    <row r="11" customFormat="false" ht="23.85" hidden="false" customHeight="false" outlineLevel="0" collapsed="false">
      <c r="A11" s="13" t="n">
        <v>6</v>
      </c>
      <c r="B11" s="4" t="s">
        <v>228</v>
      </c>
      <c r="C11" s="8" t="s">
        <v>229</v>
      </c>
      <c r="D11" s="8" t="s">
        <v>230</v>
      </c>
      <c r="E11" s="13" t="s">
        <v>63</v>
      </c>
      <c r="F11" s="14" t="n">
        <v>1</v>
      </c>
      <c r="G11" s="15" t="n">
        <v>131000</v>
      </c>
      <c r="H11" s="16" t="n">
        <f aca="false">F11*G11</f>
        <v>131000</v>
      </c>
      <c r="I11" s="8" t="s">
        <v>231</v>
      </c>
      <c r="J11" s="8"/>
    </row>
    <row r="12" customFormat="false" ht="23.85" hidden="false" customHeight="false" outlineLevel="0" collapsed="false">
      <c r="A12" s="13" t="n">
        <v>7</v>
      </c>
      <c r="B12" s="4" t="s">
        <v>232</v>
      </c>
      <c r="C12" s="8" t="s">
        <v>233</v>
      </c>
      <c r="D12" s="8" t="s">
        <v>234</v>
      </c>
      <c r="E12" s="13" t="s">
        <v>68</v>
      </c>
      <c r="F12" s="14" t="n">
        <v>1</v>
      </c>
      <c r="G12" s="15" t="n">
        <v>425000</v>
      </c>
      <c r="H12" s="16" t="n">
        <f aca="false">F12*G12</f>
        <v>425000</v>
      </c>
      <c r="I12" s="8" t="s">
        <v>235</v>
      </c>
      <c r="J12" s="8" t="s">
        <v>236</v>
      </c>
    </row>
    <row r="13" customFormat="false" ht="23.85" hidden="false" customHeight="false" outlineLevel="0" collapsed="false">
      <c r="A13" s="13" t="n">
        <v>8</v>
      </c>
      <c r="B13" s="4" t="s">
        <v>237</v>
      </c>
      <c r="C13" s="8" t="s">
        <v>238</v>
      </c>
      <c r="D13" s="8" t="s">
        <v>239</v>
      </c>
      <c r="E13" s="13" t="s">
        <v>68</v>
      </c>
      <c r="F13" s="14" t="n">
        <v>2</v>
      </c>
      <c r="G13" s="15" t="n">
        <v>250000</v>
      </c>
      <c r="H13" s="16" t="n">
        <f aca="false">F13*G13</f>
        <v>500000</v>
      </c>
      <c r="I13" s="8" t="s">
        <v>240</v>
      </c>
      <c r="J13" s="8"/>
    </row>
    <row r="14" customFormat="false" ht="23.85" hidden="false" customHeight="false" outlineLevel="0" collapsed="false">
      <c r="A14" s="13" t="n">
        <v>9</v>
      </c>
      <c r="B14" s="4" t="s">
        <v>241</v>
      </c>
      <c r="C14" s="8" t="s">
        <v>242</v>
      </c>
      <c r="D14" s="8" t="s">
        <v>140</v>
      </c>
      <c r="E14" s="13" t="s">
        <v>68</v>
      </c>
      <c r="F14" s="14" t="n">
        <v>1</v>
      </c>
      <c r="G14" s="15" t="n">
        <v>550000</v>
      </c>
      <c r="H14" s="16" t="n">
        <f aca="false">F14*G14</f>
        <v>550000</v>
      </c>
      <c r="I14" s="8" t="s">
        <v>243</v>
      </c>
      <c r="J14" s="8"/>
    </row>
    <row r="15" customFormat="false" ht="23.85" hidden="false" customHeight="false" outlineLevel="0" collapsed="false">
      <c r="A15" s="13" t="n">
        <v>10</v>
      </c>
      <c r="B15" s="4" t="s">
        <v>244</v>
      </c>
      <c r="C15" s="8" t="s">
        <v>245</v>
      </c>
      <c r="D15" s="8" t="s">
        <v>246</v>
      </c>
      <c r="E15" s="13" t="s">
        <v>68</v>
      </c>
      <c r="F15" s="14" t="n">
        <v>1</v>
      </c>
      <c r="G15" s="15" t="n">
        <v>500000</v>
      </c>
      <c r="H15" s="16" t="n">
        <f aca="false">F15*G15</f>
        <v>500000</v>
      </c>
      <c r="I15" s="8" t="s">
        <v>247</v>
      </c>
      <c r="J15" s="8" t="s">
        <v>248</v>
      </c>
    </row>
    <row r="16" customFormat="false" ht="15" hidden="false" customHeight="false" outlineLevel="0" collapsed="false">
      <c r="A16" s="17"/>
      <c r="B16" s="18" t="s">
        <v>126</v>
      </c>
      <c r="C16" s="17"/>
      <c r="D16" s="17"/>
      <c r="E16" s="17"/>
      <c r="F16" s="17"/>
      <c r="G16" s="17"/>
      <c r="H16" s="19" t="n">
        <f aca="false">H5+H6+H7+H9+H10+H11+H12+H13+H14+H15</f>
        <v>4076800</v>
      </c>
      <c r="I16" s="17"/>
      <c r="J16" s="17"/>
    </row>
    <row r="17" customFormat="false" ht="15" hidden="false" customHeight="false" outlineLevel="0" collapsed="false">
      <c r="A17" s="20"/>
      <c r="B17" s="21" t="s">
        <v>127</v>
      </c>
      <c r="C17" s="20"/>
      <c r="D17" s="20"/>
      <c r="E17" s="20"/>
      <c r="F17" s="20"/>
      <c r="G17" s="20"/>
      <c r="H17" s="22" t="n">
        <f aca="false">ROUND(H16*0.1,-3)</f>
        <v>408000</v>
      </c>
      <c r="I17" s="20"/>
      <c r="J17" s="20"/>
    </row>
    <row r="18" customFormat="false" ht="15" hidden="false" customHeight="false" outlineLevel="0" collapsed="false">
      <c r="A18" s="17"/>
      <c r="B18" s="23" t="s">
        <v>128</v>
      </c>
      <c r="C18" s="17"/>
      <c r="D18" s="17"/>
      <c r="E18" s="17"/>
      <c r="F18" s="17"/>
      <c r="G18" s="17"/>
      <c r="H18" s="24" t="n">
        <f aca="false">H16+H17</f>
        <v>4484800</v>
      </c>
      <c r="I18" s="17"/>
      <c r="J18" s="17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2026-07-30T19:49:11Z</dcterms:created>
  <dc:creator>openpyxl</dc:creator>
  <dc:description/>
  <dc:language>en-US</dc:language>
  <cp:lastModifiedBy/>
  <dcterms:modified xsi:type="dcterms:W3CDTF">2026-07-30T19:49:11Z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