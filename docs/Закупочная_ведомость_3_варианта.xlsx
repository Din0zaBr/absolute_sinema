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чему_дороже_лучше" sheetId="1" state="visible" r:id="rId3"/>
    <sheet name="В1_Базовый" sheetId="2" state="visible" r:id="rId4"/>
    <sheet name="В2_Надёжный" sheetId="3" state="visible" r:id="rId5"/>
    <sheet name="В3_Резервированны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<sst xmlns="http://schemas.openxmlformats.org/spreadsheetml/2006/main" count="612" uniqueCount="228">
  <si>
    <t xml:space="preserve">Чем варианты отличаются по каждому компоненту — и можно ли обойтись дешёвым</t>
  </si>
  <si>
    <t xml:space="preserve">Компонент</t>
  </si>
  <si>
    <t xml:space="preserve">В1 «Базовый»</t>
  </si>
  <si>
    <t xml:space="preserve">В2/В3 «Надёжный»</t>
  </si>
  <si>
    <t xml:space="preserve">Почему дороже — лучше</t>
  </si>
  <si>
    <t xml:space="preserve">Можно ли обойтись дешёвым?</t>
  </si>
  <si>
    <t xml:space="preserve">Камеры</t>
  </si>
  <si>
    <t xml:space="preserve">8,9 Мп — 110 000 ₽/шт</t>
  </si>
  <si>
    <t xml:space="preserve">12,3 Мп — 160 000 ₽/шт</t>
  </si>
  <si>
    <t xml:space="preserve">Больше деталей на дне ямы → глубина меряется надёжнее; тоньше видимые трещины</t>
  </si>
  <si>
    <t xml:space="preserve">Да: 8,9 Мп достаточно для старта. 12,3 Мп — запас точности на годы</t>
  </si>
  <si>
    <t xml:space="preserve">Бортовой компьютер</t>
  </si>
  <si>
    <t xml:space="preserve">Мини-ПК 86 000 ₽ + блок питания 25 000 ₽</t>
  </si>
  <si>
    <t xml:space="preserve">Автомобильный Neousys 550 000 ₽</t>
  </si>
  <si>
    <t xml:space="preserve">Рассчитан на годы вибрации и мороз −25 °C; сам питает камеры; ни один кадр не теряется при глушении двигателя</t>
  </si>
  <si>
    <t xml:space="preserve">На пилотный сезон — да. Для ежедневной работы «безотказно» — нет: отказ мини-ПК зимой = простой машины</t>
  </si>
  <si>
    <t xml:space="preserve">Доставка данных на сервер</t>
  </si>
  <si>
    <t xml:space="preserve">Вручную: оператор носит диск (19 000 ₽)</t>
  </si>
  <si>
    <t xml:space="preserve">Сама по Wi-Fi (19 665 ₽)</t>
  </si>
  <si>
    <t xml:space="preserve">Исключается человеческий фактор: забытый диск = потерянная смена</t>
  </si>
  <si>
    <t xml:space="preserve">Да, можно вручную — нужна дисциплина</t>
  </si>
  <si>
    <t xml:space="preserve">Бесперебойник сервера</t>
  </si>
  <si>
    <t xml:space="preserve">Обычный — 16 690 ₽</t>
  </si>
  <si>
    <t xml:space="preserve">В3: онлайн-типа — 90 385 ₽</t>
  </si>
  <si>
    <t xml:space="preserve">Онлайн-тип пересоздаёт питание: сервер и база не замечают даже серьёзных аварий сети</t>
  </si>
  <si>
    <t xml:space="preserve">При стабильной сети — да, хватает обычного</t>
  </si>
  <si>
    <t xml:space="preserve">Копия архива</t>
  </si>
  <si>
    <t xml:space="preserve">Зеркало из 2 дисков в сервере (121 336 ₽)</t>
  </si>
  <si>
    <t xml:space="preserve">В3: + отдельное хранилище (209 220 ₽)</t>
  </si>
  <si>
    <t xml:space="preserve">Пожар/кража/поломка сервера не уничтожают архив — копия лежит отдельно</t>
  </si>
  <si>
    <t xml:space="preserve">Да, зеркало закрывает поломку диска. Риск: потеря сервера целиком</t>
  </si>
  <si>
    <t xml:space="preserve">Запасные части (ЗИП)</t>
  </si>
  <si>
    <t xml:space="preserve">Нет</t>
  </si>
  <si>
    <t xml:space="preserve">В3: камера + объектив + диск — 269 990 ₽</t>
  </si>
  <si>
    <t xml:space="preserve">Отказ любого узла съёмки чинится за час; без ЗИП новая камера едет 4–8 недель</t>
  </si>
  <si>
    <t xml:space="preserve">Да, если простой машины на 1–2 месяца не критичен</t>
  </si>
  <si>
    <t xml:space="preserve">Лазерная рулетка</t>
  </si>
  <si>
    <t xml:space="preserve">Bosch GLM 50 — 12 000 ₽</t>
  </si>
  <si>
    <t xml:space="preserve">В3: Leica DISTO X3 с поверкой — 48 300 ₽</t>
  </si>
  <si>
    <t xml:space="preserve">Поверенный прибор → замеры можно вкладывать в официальные акты</t>
  </si>
  <si>
    <t xml:space="preserve">Да, для внутренних проверок хватит Bosch</t>
  </si>
  <si>
    <t xml:space="preserve">Точность координат</t>
  </si>
  <si>
    <t xml:space="preserve">1–3 метра</t>
  </si>
  <si>
    <t xml:space="preserve">В3: сантиметры (своя станция — 30 000 ₽)</t>
  </si>
  <si>
    <t xml:space="preserve">Дефекты на соседних полосах не путаются; повторные проезды сшиваются идеально</t>
  </si>
  <si>
    <t xml:space="preserve">Да, 1–3 м достаточно, чтобы бригада нашла яму</t>
  </si>
  <si>
    <t xml:space="preserve">Без чего НЕЛЬЗЯ ни в одном варианте</t>
  </si>
  <si>
    <t xml:space="preserve">—</t>
  </si>
  <si>
    <t xml:space="preserve">Камеры с мгновенным затвором (регистраторы смазывают кадр на ходу), задняя камера (без неё глубина не меряется физически), жёсткие держатели с калибровкой (иначе нет сантиметров), навигация с меткой времени, поверенная рейка</t>
  </si>
  <si>
    <t xml:space="preserve">Итоги: В1 — 1 262 362 ₽ (с резервом 1 388 362) · В2 — 1 977 847 ₽ (с резервом 2 175 847) · В3 — 2 719 742 ₽ (с резервом 2 991 742). Расходы в год: подписка на точные координаты 50 400 ₽ (в В3 не нужна — своя станция), продление поверки рейки ~8 000 ₽. Смета от 30.07.2026; перед оплатой обновить цены по ссылкам листов.</t>
  </si>
  <si>
    <t xml:space="preserve">СМЕТА — ВАРИАНТ 1 «БАЗОВЫЙ» (1 машина + сервер)</t>
  </si>
  <si>
    <t xml:space="preserve">Машина снимает дорогу спереди и сзади, сервер находит дефекты и меряет глубину ям, оператор видит реестр на карте. Данные переносятся вручную на диске.</t>
  </si>
  <si>
    <t xml:space="preserve">СМЕТА составлена 30.07.2026. Цены — розничные, РФ, с НДС, зафиксированы 30.07.2026. Статус «Листинг» — цена подтверждена открытой страницей магазина (проверяется по ссылке); «По счёту» — цена ожидаемая, точная выдаётся поставщиком по счёту (контакт в столбце источника); «Оценка» — работы, изготовление, мелочь. Срок актуальности цен 2–4 недели: память и накопители волатильны.</t>
  </si>
  <si>
    <t xml:space="preserve">№</t>
  </si>
  <si>
    <t xml:space="preserve">Что покупаем</t>
  </si>
  <si>
    <t xml:space="preserve">Конкретная модель</t>
  </si>
  <si>
    <t xml:space="preserve">Кол-во</t>
  </si>
  <si>
    <t xml:space="preserve">Цена за шт., ₽</t>
  </si>
  <si>
    <t xml:space="preserve">Сумма, ₽</t>
  </si>
  <si>
    <t xml:space="preserve">Где купить</t>
  </si>
  <si>
    <t xml:space="preserve">Источник цены (ссылка / контакт для счёта)</t>
  </si>
  <si>
    <t xml:space="preserve">Статус цены</t>
  </si>
  <si>
    <t xml:space="preserve">ОБОРУДОВАНИЕ НА МАШИНУ</t>
  </si>
  <si>
    <t xml:space="preserve">Камера (передняя и задняя) — «глаза» системы, 8,9 Мп, мгновенный затвор</t>
  </si>
  <si>
    <t xml:space="preserve">Hikrobot MV-CS089-10GC</t>
  </si>
  <si>
    <t xml:space="preserve">Сенсотек</t>
  </si>
  <si>
    <t xml:space="preserve">sensotek.ru/catalog/hikrobot (серия CS); счёт: +7 495 181-56-67, info@sensotek.ru; либо Малленом 8-800-700-35-17</t>
  </si>
  <si>
    <t xml:space="preserve">По счёту</t>
  </si>
  <si>
    <t xml:space="preserve">Оптика — объектив к каждой камере</t>
  </si>
  <si>
    <t xml:space="preserve">Hikrobot MVL-KF1228M-12MP</t>
  </si>
  <si>
    <t xml:space="preserve">Защитный кожух с обогревом — работа зимой и в дождь</t>
  </si>
  <si>
    <t xml:space="preserve">Wizebox Standart SVS32</t>
  </si>
  <si>
    <t xml:space="preserve">ИНТЕМС</t>
  </si>
  <si>
    <t xml:space="preserve">securityrussia.com/cctv/termokozhukhi-dlya-videokamer/4991 — 11 312 ₽, в наличии</t>
  </si>
  <si>
    <t xml:space="preserve">Листинг</t>
  </si>
  <si>
    <t xml:space="preserve">Бортовой компьютер — записывает кадры в машине</t>
  </si>
  <si>
    <t xml:space="preserve">Minisforum UM890 Pro (Ryzen 9, 32 ГБ/1 ТБ)</t>
  </si>
  <si>
    <t xml:space="preserve">Minisforum РФ</t>
  </si>
  <si>
    <t xml:space="preserve">minisforum.com.ru/um890-pro — 86 000 ₽, под заказ</t>
  </si>
  <si>
    <t xml:space="preserve">Блок аварийного питания — корректное выключение при глушении</t>
  </si>
  <si>
    <t xml:space="preserve">Mini-Box OpenUPS 12 В</t>
  </si>
  <si>
    <t xml:space="preserve">автоэлектроника</t>
  </si>
  <si>
    <t xml:space="preserve">поставщики бортовой электроники, по счёту</t>
  </si>
  <si>
    <t xml:space="preserve">Оценка</t>
  </si>
  <si>
    <t xml:space="preserve">Питание камер по кабелю</t>
  </si>
  <si>
    <t xml:space="preserve">TP-Link TL-PoE160S</t>
  </si>
  <si>
    <t xml:space="preserve">Регард</t>
  </si>
  <si>
    <t xml:space="preserve">regard.ru/product/377888 — 2 575 ₽, в наличии</t>
  </si>
  <si>
    <t xml:space="preserve">Диск для записи кадров (борт)</t>
  </si>
  <si>
    <t xml:space="preserve">Samsung 990 Pro 2 ТБ</t>
  </si>
  <si>
    <t xml:space="preserve">по аналогии с 4 ТБ (regard.ru/product/656775)</t>
  </si>
  <si>
    <t xml:space="preserve">Навигационный приёмник — точные координаты каждого кадра</t>
  </si>
  <si>
    <t xml:space="preserve">ArduSimple simpleRTK2B (u-blox ZED-F9P/F9R)</t>
  </si>
  <si>
    <t xml:space="preserve">Атталион</t>
  </si>
  <si>
    <t xml:space="preserve">attal.ru/goods/modul-gps-rtk-ardusimple-simplertk2b-lite-zed-f9p; счёт: zakaz@attal.ru, +7 499 995-13-34; поставка до 15 дней</t>
  </si>
  <si>
    <t xml:space="preserve">Антенна навигации на крышу (на магните)</t>
  </si>
  <si>
    <t xml:space="preserve">многодиапазонная GNSS (Harxon и аналоги)</t>
  </si>
  <si>
    <t xml:space="preserve">Геодетика</t>
  </si>
  <si>
    <t xml:space="preserve">geodetika.ru (раздел GNSS-антенны, цена по запросу)</t>
  </si>
  <si>
    <t xml:space="preserve">Держатели: платформа на крышу, кронштейны, виброопоры</t>
  </si>
  <si>
    <t xml:space="preserve">изготовление на заказ</t>
  </si>
  <si>
    <t xml:space="preserve">автотюнинг/металлообработка</t>
  </si>
  <si>
    <t xml:space="preserve">изготовление по месту, 2–3 предложения</t>
  </si>
  <si>
    <t xml:space="preserve">Кабели камера→компьютер, гермовводы, проводка питания</t>
  </si>
  <si>
    <t xml:space="preserve">промышленная витая пара, M12</t>
  </si>
  <si>
    <t xml:space="preserve">поставщик камер</t>
  </si>
  <si>
    <t xml:space="preserve">комплектуется вместе с камерами (Сенсотек)</t>
  </si>
  <si>
    <t xml:space="preserve">Установка на машину + калибровка камер</t>
  </si>
  <si>
    <t xml:space="preserve">работы</t>
  </si>
  <si>
    <t xml:space="preserve">монтажная бригада</t>
  </si>
  <si>
    <t xml:space="preserve">работы по месту</t>
  </si>
  <si>
    <t xml:space="preserve">СЕРВЕР И РАБОЧЕЕ МЕСТО ОПЕРАТОРА (один компьютер)</t>
  </si>
  <si>
    <t xml:space="preserve">Сервер: процессор, 16 ядер</t>
  </si>
  <si>
    <t xml:space="preserve">AMD Ryzen 9 9950X</t>
  </si>
  <si>
    <t xml:space="preserve">DNS</t>
  </si>
  <si>
    <t xml:space="preserve">dns-shop.ru/product/b28701d724a2d582 (цена в карточке; уточнить в день закупки)</t>
  </si>
  <si>
    <t xml:space="preserve">Сервер: материнская плата</t>
  </si>
  <si>
    <t xml:space="preserve">ASUS TUF Gaming X870-Plus WiFi</t>
  </si>
  <si>
    <t xml:space="preserve">КНС</t>
  </si>
  <si>
    <t xml:space="preserve">kns.ru/product/materinskaya-plata-asus-tuf-gaming-x870-plus-wifi — 32 847 ₽, в наличии</t>
  </si>
  <si>
    <t xml:space="preserve">Сервер: оперативная память 64 ГБ</t>
  </si>
  <si>
    <t xml:space="preserve">Kingston Fury Beast 2×32 DDR5-6000</t>
  </si>
  <si>
    <t xml:space="preserve">regard.ru/product/468953 — 90 990 ₽, в наличии</t>
  </si>
  <si>
    <t xml:space="preserve">Сервер: видеокарта (ускоряет нейросеть)</t>
  </si>
  <si>
    <t xml:space="preserve">Palit GeForce RTX 5070 Ti 16 ГБ</t>
  </si>
  <si>
    <t xml:space="preserve">regard.ru/reciept/34818983 — от 97 990 ₽, в наличии</t>
  </si>
  <si>
    <t xml:space="preserve">Сервер: быстрый диск 2 ТБ (база данных)</t>
  </si>
  <si>
    <t xml:space="preserve">Сервер: 2 жёстких диска 16 ТБ — архив, зеркало</t>
  </si>
  <si>
    <t xml:space="preserve">Seagate Exos X18 ST16000NM000J</t>
  </si>
  <si>
    <t xml:space="preserve">ТЕХПОС</t>
  </si>
  <si>
    <t xml:space="preserve">tehpos.ru/seagate-exos-x18-16tb-st16000nm000j.html — 60 668 ₽, под заказ</t>
  </si>
  <si>
    <t xml:space="preserve">Сервер: корпус</t>
  </si>
  <si>
    <t xml:space="preserve">DeepCool CK560</t>
  </si>
  <si>
    <t xml:space="preserve">regard.ru/product/422107 — 8 470 ₽, в наличии</t>
  </si>
  <si>
    <t xml:space="preserve">Сервер: блок питания 1000 Вт</t>
  </si>
  <si>
    <t xml:space="preserve">DeepCool PN1000M 80+ Gold</t>
  </si>
  <si>
    <t xml:space="preserve">kns.ru/product/blok-pitaniya-deepcool-1000w-pn1000m-gen-5 — 11 275 ₽, в наличии</t>
  </si>
  <si>
    <t xml:space="preserve">Сервер: охлаждение процессора</t>
  </si>
  <si>
    <t xml:space="preserve">DeepCool AK620</t>
  </si>
  <si>
    <t xml:space="preserve">типовая розничная цена</t>
  </si>
  <si>
    <t xml:space="preserve">Монитор 27" 4K — видны мелкие трещины при разметке</t>
  </si>
  <si>
    <t xml:space="preserve">LG 27UP650K-W</t>
  </si>
  <si>
    <t xml:space="preserve">4k-monitors.ru</t>
  </si>
  <si>
    <t xml:space="preserve">4k-monitors.ru/catalog/lg/lg-27up650k-w — 24 990 ₽, в наличии</t>
  </si>
  <si>
    <t xml:space="preserve">Бесперебойник — защита от скачков света</t>
  </si>
  <si>
    <t xml:space="preserve">Ippon Back Basic 1500 Euro</t>
  </si>
  <si>
    <t xml:space="preserve">НИКС</t>
  </si>
  <si>
    <t xml:space="preserve">nix.ru (Ippon Back Basic 1500 Euro) — 16 690 ₽, в наличии</t>
  </si>
  <si>
    <t xml:space="preserve">Клавиатура и мышь</t>
  </si>
  <si>
    <t xml:space="preserve">Logitech MK540</t>
  </si>
  <si>
    <t xml:space="preserve">ИНСТРУМЕНТ: КАЛИБРОВКА И КОНТРОЛЬНЫЕ ЗАМЕРЫ</t>
  </si>
  <si>
    <t xml:space="preserve">Мишени для калибровки — печать на жёстком пластике</t>
  </si>
  <si>
    <t xml:space="preserve">шахматная доска + ChArUco, А1/А2</t>
  </si>
  <si>
    <t xml:space="preserve">типография</t>
  </si>
  <si>
    <t xml:space="preserve">УФ-печать на ПВХ/композите (напр. poliservis.com), 1–3 дня</t>
  </si>
  <si>
    <t xml:space="preserve">Рейка дорожная 3 м с клином, ПОВЕРЕННАЯ — контроль глубины</t>
  </si>
  <si>
    <t xml:space="preserve">РДУ «Кондор»</t>
  </si>
  <si>
    <t xml:space="preserve">Русгеоком</t>
  </si>
  <si>
    <t xml:space="preserve">rusgeocom.ru (РДУ Кондор) — 58 000 ₽ с поверкой, в наличии</t>
  </si>
  <si>
    <t xml:space="preserve">Лазерная рулетка — расстояния и высота камер</t>
  </si>
  <si>
    <t xml:space="preserve">Bosch GLM 50</t>
  </si>
  <si>
    <t xml:space="preserve">Рулетка 5 м и металлическая линейка</t>
  </si>
  <si>
    <t xml:space="preserve">Stanley / STAYER</t>
  </si>
  <si>
    <t xml:space="preserve">ВсеИнструменты</t>
  </si>
  <si>
    <t xml:space="preserve">Жилеты, конусы, знак — безопасность при замерах</t>
  </si>
  <si>
    <t xml:space="preserve">2 жилета + 4 конуса + знак</t>
  </si>
  <si>
    <t xml:space="preserve">Внешний диск 2 ТБ — перенос данных</t>
  </si>
  <si>
    <t xml:space="preserve">Samsung T7 2 ТБ</t>
  </si>
  <si>
    <t xml:space="preserve">типовая розничная цена (18–22 тыс.)</t>
  </si>
  <si>
    <t xml:space="preserve">ИТОГО</t>
  </si>
  <si>
    <t xml:space="preserve">— в т.ч. цены, подтверждённые листингами магазинов</t>
  </si>
  <si>
    <t xml:space="preserve">— в т.ч. ожидаемые цены по счетам поставщиков</t>
  </si>
  <si>
    <t xml:space="preserve">— в т.ч. оценки (работы, изготовление, мелочь)</t>
  </si>
  <si>
    <t xml:space="preserve">Резерв 10% (на рост цен и доставку)</t>
  </si>
  <si>
    <t xml:space="preserve">ВСЕГО с резервом</t>
  </si>
  <si>
    <t xml:space="preserve">СМЕТА — ВАРИАНТ 2 «НАДЁЖНЫЙ», РЕКОМЕНДУЕМЫЙ (1 машина + сервер)</t>
  </si>
  <si>
    <t xml:space="preserve">Отличия от В1: камеры детальнее (12,3 Мп), бортовой компьютер автомобильного класса, данные уходят на сервер сами по Wi-Fi.</t>
  </si>
  <si>
    <t xml:space="preserve">Камера (передняя и задняя) — «глаза» системы, 12,3 Мп, мгновенный затвор</t>
  </si>
  <si>
    <t xml:space="preserve">Hikrobot MV-CS120-10GC</t>
  </si>
  <si>
    <t xml:space="preserve">Бортовой компьютер АВТОМОБИЛЬНОГО исполнения — узел надёжности: мороз, вибрация, не теряет кадры при глушении</t>
  </si>
  <si>
    <t xml:space="preserve">Neousys Nuvo-7250VTC</t>
  </si>
  <si>
    <t xml:space="preserve">ННЗ (СПб)</t>
  </si>
  <si>
    <t xml:space="preserve">nnz-ipc.ru (Neousys серия VTC); счёт по запросу; поставка 6–12 недель — заказывать первым</t>
  </si>
  <si>
    <t xml:space="preserve">Samsung 990 Pro 4 ТБ</t>
  </si>
  <si>
    <t xml:space="preserve">regard.ru/product/656775 — 69 990 ₽, в наличии</t>
  </si>
  <si>
    <t xml:space="preserve">Держатели усиленные: платформа, юстируемые кронштейны, виброопоры</t>
  </si>
  <si>
    <t xml:space="preserve">изготовление на заказ (нерж.)</t>
  </si>
  <si>
    <t xml:space="preserve">Установка на машину + точная калибровка камер</t>
  </si>
  <si>
    <t xml:space="preserve">СЕРВЕР И РАБОЧЕЕ МЕСТО ОПЕРАТОРА</t>
  </si>
  <si>
    <t xml:space="preserve">Сервер: быстрый диск 4 ТБ (база данных)</t>
  </si>
  <si>
    <t xml:space="preserve">Клавиатура, мышь, гарнитура</t>
  </si>
  <si>
    <t xml:space="preserve">Logitech</t>
  </si>
  <si>
    <t xml:space="preserve">Wi-Fi точка в гараже — машина сама отдаёт данные</t>
  </si>
  <si>
    <t xml:space="preserve">TP-Link Omada EAP670</t>
  </si>
  <si>
    <t xml:space="preserve">TP-Link</t>
  </si>
  <si>
    <t xml:space="preserve">tplink.com.ru/collection/aps/product/tp-link-omada-eap670 — 17 090 ₽</t>
  </si>
  <si>
    <t xml:space="preserve">Питание Wi-Fi точки по кабелю</t>
  </si>
  <si>
    <t xml:space="preserve">СМЕТА — ВАРИАНТ 3 «РЕЗЕРВИРОВАННЫЙ» (1 машина + сервер + запас)</t>
  </si>
  <si>
    <t xml:space="preserve">Это В2 плюс: запасные камера/объектив/диск, отдельная копия архива, мощный бесперебойник, отдельное рабочее место оператора, своя станция точных координат.</t>
  </si>
  <si>
    <t xml:space="preserve">ОБОРУДОВАНИЕ НА МАШИНУ (как в В2)</t>
  </si>
  <si>
    <t xml:space="preserve">ЗАПАСНЫЕ ЧАСТИ (замена узла за час вместо простоя 4–8 недель)</t>
  </si>
  <si>
    <t xml:space="preserve">Запасная камера</t>
  </si>
  <si>
    <t xml:space="preserve">Запасной объектив</t>
  </si>
  <si>
    <t xml:space="preserve">Запасной диск для борта</t>
  </si>
  <si>
    <t xml:space="preserve">СЕРВЕР, СЕТЬ, ЗАЩИТА ДАННЫХ</t>
  </si>
  <si>
    <t xml:space="preserve">Мощный бесперебойник онлайн-типа — сервер не замечает аварий сети</t>
  </si>
  <si>
    <t xml:space="preserve">Ippon Innova RT II 2000</t>
  </si>
  <si>
    <t xml:space="preserve">ИНФОТЕХ</t>
  </si>
  <si>
    <t xml:space="preserve">i-teh.com (Innova RT II 2000) — 90 385 ₽, в наличии (в КНС — 116 190)</t>
  </si>
  <si>
    <t xml:space="preserve">Сетевое хранилище — отдельная копия архива</t>
  </si>
  <si>
    <t xml:space="preserve">QNAP TS-464-8G</t>
  </si>
  <si>
    <t xml:space="preserve">i-teh.com (QNAP TS-464-8G) — 87 884 ₽, наличие уточнить (в КНС 170 336 ₽ — в наличии)</t>
  </si>
  <si>
    <t xml:space="preserve">Два диска 16 ТБ в хранилище</t>
  </si>
  <si>
    <t xml:space="preserve">Seagate Exos X18 16 ТБ</t>
  </si>
  <si>
    <t xml:space="preserve">tehpos.ru/seagate-exos-x18-16tb-st16000nm000j.html — 60 668 ₽</t>
  </si>
  <si>
    <t xml:space="preserve">Wi-Fi мост — выгрузка с дальней стоянки</t>
  </si>
  <si>
    <t xml:space="preserve">2× TP-Link CPE710</t>
  </si>
  <si>
    <t xml:space="preserve">типовая розничная цена пары</t>
  </si>
  <si>
    <t xml:space="preserve">Своя базовая станция точных координат (сантиметры без абонплаты)</t>
  </si>
  <si>
    <t xml:space="preserve">ArduSimple simpleRTK2B + антенна</t>
  </si>
  <si>
    <t xml:space="preserve">attal.ru/goods/modul-gps-rtk-ardusimple-simplertk2b-lite-zed-f9p; счёт: zakaz@attal.ru, +7 499 995-13-34</t>
  </si>
  <si>
    <t xml:space="preserve">ОТДЕЛЬНОЕ РАБОЧЕЕ МЕСТО ОПЕРАТОРА</t>
  </si>
  <si>
    <t xml:space="preserve">Компьютер оператора</t>
  </si>
  <si>
    <t xml:space="preserve">Minisforum UM890 Pro (32 ГБ/1 ТБ)</t>
  </si>
  <si>
    <t xml:space="preserve">Лазерная рулетка с поверкой — официальные замеры</t>
  </si>
  <si>
    <t xml:space="preserve">Leica DISTO X3 + поверка</t>
  </si>
  <si>
    <t xml:space="preserve">ГеоОптик</t>
  </si>
  <si>
    <t xml:space="preserve">geooptic.ru (DISTO X3) — 47 300 ₽ + 1 000 ₽ поверка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</si>
</sst>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customFormat="false" ht="35.05" hidden="false" customHeight="false" outlineLevel="0" collapsed="false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customFormat="false" ht="23.85" hidden="false" customHeight="false" outlineLevel="0" collapsed="false">
      <c r="A6" s="3" t="s">
        <v>16</v>
      </c>
      <c r="B6" s="4" t="s">
        <v>17</v>
      </c>
      <c r="C6" s="4" t="s">
        <v>18</v>
      </c>
      <c r="D6" s="4" t="s">
        <v>19</v>
      </c>
      <c r="E6" s="4" t="s">
        <v>20</v>
      </c>
    </row>
    <row r="7" customFormat="false" ht="23.85" hidden="false" customHeight="fals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 t="s">
        <v>25</v>
      </c>
    </row>
    <row r="8" customFormat="false" ht="23.85" hidden="false" customHeight="false" outlineLevel="0" collapsed="false">
      <c r="A8" s="3" t="s">
        <v>26</v>
      </c>
      <c r="B8" s="4" t="s">
        <v>27</v>
      </c>
      <c r="C8" s="4" t="s">
        <v>28</v>
      </c>
      <c r="D8" s="4" t="s">
        <v>29</v>
      </c>
      <c r="E8" s="4" t="s">
        <v>30</v>
      </c>
    </row>
    <row r="9" customFormat="false" ht="23.85" hidden="false" customHeight="false" outlineLevel="0" collapsed="false">
      <c r="A9" s="3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 customFormat="false" ht="23.85" hidden="false" customHeight="false" outlineLevel="0" collapsed="false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40</v>
      </c>
    </row>
    <row r="11" customFormat="false" ht="23.85" hidden="false" customHeight="false" outlineLevel="0" collapsed="false">
      <c r="A11" s="3" t="s">
        <v>41</v>
      </c>
      <c r="B11" s="4" t="s">
        <v>42</v>
      </c>
      <c r="C11" s="4" t="s">
        <v>43</v>
      </c>
      <c r="D11" s="4" t="s">
        <v>44</v>
      </c>
      <c r="E11" s="4" t="s">
        <v>45</v>
      </c>
    </row>
    <row r="12" customFormat="false" ht="68.65" hidden="false" customHeight="false" outlineLevel="0" collapsed="false">
      <c r="A12" s="3" t="s">
        <v>46</v>
      </c>
      <c r="B12" s="4" t="s">
        <v>47</v>
      </c>
      <c r="C12" s="4" t="s">
        <v>47</v>
      </c>
      <c r="D12" s="4" t="s">
        <v>48</v>
      </c>
      <c r="E12" s="4" t="s">
        <v>47</v>
      </c>
    </row>
    <row r="14" customFormat="false" ht="39.75" hidden="false" customHeight="true" outlineLevel="0" collapsed="false">
      <c r="A14" s="5" t="s">
        <v>49</v>
      </c>
      <c r="B14" s="5"/>
      <c r="C14" s="5"/>
      <c r="D14" s="5"/>
      <c r="E14" s="5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51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62</v>
      </c>
      <c r="C5" s="7"/>
      <c r="D5" s="7"/>
      <c r="E5" s="7"/>
      <c r="F5" s="7"/>
      <c r="G5" s="7"/>
      <c r="H5" s="7"/>
      <c r="I5" s="7"/>
    </row>
    <row r="6" customFormat="false" ht="32.8" hidden="false" customHeight="false" outlineLevel="0" collapsed="false">
      <c r="A6" s="9" t="n">
        <v>1</v>
      </c>
      <c r="B6" s="4" t="s">
        <v>63</v>
      </c>
      <c r="C6" s="4" t="s">
        <v>64</v>
      </c>
      <c r="D6" s="10" t="n">
        <v>2</v>
      </c>
      <c r="E6" s="11" t="n">
        <v>110000</v>
      </c>
      <c r="F6" s="12" t="n">
        <f aca="false">D6*E6</f>
        <v>220000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23.85" hidden="false" customHeight="false" outlineLevel="0" collapsed="false">
      <c r="A9" s="9" t="n">
        <v>4</v>
      </c>
      <c r="B9" s="4" t="s">
        <v>75</v>
      </c>
      <c r="C9" s="4" t="s">
        <v>76</v>
      </c>
      <c r="D9" s="10" t="n">
        <v>1</v>
      </c>
      <c r="E9" s="11" t="n">
        <v>86000</v>
      </c>
      <c r="F9" s="12" t="n">
        <f aca="false">D9*E9</f>
        <v>86000</v>
      </c>
      <c r="G9" s="4" t="s">
        <v>77</v>
      </c>
      <c r="H9" s="13" t="s">
        <v>78</v>
      </c>
      <c r="I9" s="9" t="s">
        <v>74</v>
      </c>
    </row>
    <row r="10" customFormat="false" ht="23.85" hidden="false" customHeight="false" outlineLevel="0" collapsed="false">
      <c r="A10" s="9" t="n">
        <v>5</v>
      </c>
      <c r="B10" s="4" t="s">
        <v>79</v>
      </c>
      <c r="C10" s="4" t="s">
        <v>80</v>
      </c>
      <c r="D10" s="10" t="n">
        <v>1</v>
      </c>
      <c r="E10" s="11" t="n">
        <v>25000</v>
      </c>
      <c r="F10" s="12" t="n">
        <f aca="false">D10*E10</f>
        <v>25000</v>
      </c>
      <c r="G10" s="4" t="s">
        <v>81</v>
      </c>
      <c r="H10" s="13" t="s">
        <v>82</v>
      </c>
      <c r="I10" s="9" t="s">
        <v>83</v>
      </c>
    </row>
    <row r="11" customFormat="false" ht="15" hidden="false" customHeight="false" outlineLevel="0" collapsed="false">
      <c r="A11" s="9" t="n">
        <v>6</v>
      </c>
      <c r="B11" s="4" t="s">
        <v>84</v>
      </c>
      <c r="C11" s="4" t="s">
        <v>85</v>
      </c>
      <c r="D11" s="10" t="n">
        <v>2</v>
      </c>
      <c r="E11" s="11" t="n">
        <v>2575</v>
      </c>
      <c r="F11" s="12" t="n">
        <f aca="false">D11*E11</f>
        <v>5150</v>
      </c>
      <c r="G11" s="4" t="s">
        <v>86</v>
      </c>
      <c r="H11" s="13" t="s">
        <v>87</v>
      </c>
      <c r="I11" s="9" t="s">
        <v>74</v>
      </c>
    </row>
    <row r="12" customFormat="false" ht="15" hidden="false" customHeight="false" outlineLevel="0" collapsed="false">
      <c r="A12" s="9" t="n">
        <v>7</v>
      </c>
      <c r="B12" s="4" t="s">
        <v>88</v>
      </c>
      <c r="C12" s="4" t="s">
        <v>89</v>
      </c>
      <c r="D12" s="10" t="n">
        <v>1</v>
      </c>
      <c r="E12" s="11" t="n">
        <v>35000</v>
      </c>
      <c r="F12" s="12" t="n">
        <f aca="false">D12*E12</f>
        <v>35000</v>
      </c>
      <c r="G12" s="4" t="s">
        <v>86</v>
      </c>
      <c r="H12" s="13" t="s">
        <v>90</v>
      </c>
      <c r="I12" s="9" t="s">
        <v>83</v>
      </c>
    </row>
    <row r="13" customFormat="false" ht="32.8" hidden="false" customHeight="false" outlineLevel="0" collapsed="false">
      <c r="A13" s="9" t="n">
        <v>8</v>
      </c>
      <c r="B13" s="4" t="s">
        <v>91</v>
      </c>
      <c r="C13" s="4" t="s">
        <v>92</v>
      </c>
      <c r="D13" s="10" t="n">
        <v>1</v>
      </c>
      <c r="E13" s="11" t="n">
        <v>55000</v>
      </c>
      <c r="F13" s="12" t="n">
        <f aca="false">D13*E13</f>
        <v>55000</v>
      </c>
      <c r="G13" s="4" t="s">
        <v>93</v>
      </c>
      <c r="H13" s="13" t="s">
        <v>94</v>
      </c>
      <c r="I13" s="9" t="s">
        <v>67</v>
      </c>
    </row>
    <row r="14" customFormat="false" ht="23.85" hidden="false" customHeight="false" outlineLevel="0" collapsed="false">
      <c r="A14" s="9" t="n">
        <v>9</v>
      </c>
      <c r="B14" s="4" t="s">
        <v>95</v>
      </c>
      <c r="C14" s="4" t="s">
        <v>96</v>
      </c>
      <c r="D14" s="10" t="n">
        <v>1</v>
      </c>
      <c r="E14" s="11" t="n">
        <v>25000</v>
      </c>
      <c r="F14" s="12" t="n">
        <f aca="false">D14*E14</f>
        <v>25000</v>
      </c>
      <c r="G14" s="4" t="s">
        <v>97</v>
      </c>
      <c r="H14" s="13" t="s">
        <v>98</v>
      </c>
      <c r="I14" s="9" t="s">
        <v>83</v>
      </c>
    </row>
    <row r="15" customFormat="false" ht="35.05" hidden="false" customHeight="false" outlineLevel="0" collapsed="false">
      <c r="A15" s="9" t="n">
        <v>10</v>
      </c>
      <c r="B15" s="4" t="s">
        <v>99</v>
      </c>
      <c r="C15" s="4" t="s">
        <v>100</v>
      </c>
      <c r="D15" s="10" t="n">
        <v>1</v>
      </c>
      <c r="E15" s="11" t="n">
        <v>30000</v>
      </c>
      <c r="F15" s="12" t="n">
        <f aca="false">D15*E15</f>
        <v>30000</v>
      </c>
      <c r="G15" s="4" t="s">
        <v>101</v>
      </c>
      <c r="H15" s="13" t="s">
        <v>102</v>
      </c>
      <c r="I15" s="9" t="s">
        <v>83</v>
      </c>
    </row>
    <row r="16" customFormat="false" ht="23.85" hidden="false" customHeight="false" outlineLevel="0" collapsed="false">
      <c r="A16" s="9" t="n">
        <v>11</v>
      </c>
      <c r="B16" s="4" t="s">
        <v>103</v>
      </c>
      <c r="C16" s="4" t="s">
        <v>104</v>
      </c>
      <c r="D16" s="10" t="n">
        <v>1</v>
      </c>
      <c r="E16" s="11" t="n">
        <v>20000</v>
      </c>
      <c r="F16" s="12" t="n">
        <f aca="false">D16*E16</f>
        <v>20000</v>
      </c>
      <c r="G16" s="4" t="s">
        <v>105</v>
      </c>
      <c r="H16" s="13" t="s">
        <v>106</v>
      </c>
      <c r="I16" s="9" t="s">
        <v>83</v>
      </c>
    </row>
    <row r="17" customFormat="false" ht="23.85" hidden="false" customHeight="false" outlineLevel="0" collapsed="false">
      <c r="A17" s="9" t="n">
        <v>12</v>
      </c>
      <c r="B17" s="4" t="s">
        <v>107</v>
      </c>
      <c r="C17" s="4" t="s">
        <v>108</v>
      </c>
      <c r="D17" s="10" t="n">
        <v>1</v>
      </c>
      <c r="E17" s="11" t="n">
        <v>30000</v>
      </c>
      <c r="F17" s="12" t="n">
        <f aca="false">D17*E17</f>
        <v>30000</v>
      </c>
      <c r="G17" s="4" t="s">
        <v>109</v>
      </c>
      <c r="H17" s="13" t="s">
        <v>110</v>
      </c>
      <c r="I17" s="9" t="s">
        <v>83</v>
      </c>
    </row>
    <row r="18" customFormat="false" ht="15" hidden="false" customHeight="false" outlineLevel="0" collapsed="false">
      <c r="A18" s="7"/>
      <c r="B18" s="8" t="s">
        <v>111</v>
      </c>
      <c r="C18" s="7"/>
      <c r="D18" s="7"/>
      <c r="E18" s="7"/>
      <c r="F18" s="7"/>
      <c r="G18" s="7"/>
      <c r="H18" s="7"/>
      <c r="I18" s="7"/>
    </row>
    <row r="19" customFormat="false" ht="22.35" hidden="false" customHeight="false" outlineLevel="0" collapsed="false">
      <c r="A19" s="9" t="n">
        <v>13</v>
      </c>
      <c r="B19" s="4" t="s">
        <v>112</v>
      </c>
      <c r="C19" s="4" t="s">
        <v>113</v>
      </c>
      <c r="D19" s="10" t="n">
        <v>1</v>
      </c>
      <c r="E19" s="11" t="n">
        <v>65000</v>
      </c>
      <c r="F19" s="12" t="n">
        <f aca="false">D19*E19</f>
        <v>65000</v>
      </c>
      <c r="G19" s="4" t="s">
        <v>114</v>
      </c>
      <c r="H19" s="13" t="s">
        <v>115</v>
      </c>
      <c r="I19" s="9" t="s">
        <v>67</v>
      </c>
    </row>
    <row r="20" customFormat="false" ht="23.85" hidden="false" customHeight="false" outlineLevel="0" collapsed="false">
      <c r="A20" s="9" t="n">
        <v>14</v>
      </c>
      <c r="B20" s="4" t="s">
        <v>116</v>
      </c>
      <c r="C20" s="4" t="s">
        <v>117</v>
      </c>
      <c r="D20" s="10" t="n">
        <v>1</v>
      </c>
      <c r="E20" s="11" t="n">
        <v>32847</v>
      </c>
      <c r="F20" s="12" t="n">
        <f aca="false">D20*E20</f>
        <v>32847</v>
      </c>
      <c r="G20" s="4" t="s">
        <v>118</v>
      </c>
      <c r="H20" s="13" t="s">
        <v>119</v>
      </c>
      <c r="I20" s="9" t="s">
        <v>74</v>
      </c>
    </row>
    <row r="21" customFormat="false" ht="23.85" hidden="false" customHeight="false" outlineLevel="0" collapsed="false">
      <c r="A21" s="9" t="n">
        <v>15</v>
      </c>
      <c r="B21" s="4" t="s">
        <v>120</v>
      </c>
      <c r="C21" s="4" t="s">
        <v>121</v>
      </c>
      <c r="D21" s="10" t="n">
        <v>1</v>
      </c>
      <c r="E21" s="11" t="n">
        <v>90990</v>
      </c>
      <c r="F21" s="12" t="n">
        <f aca="false">D21*E21</f>
        <v>90990</v>
      </c>
      <c r="G21" s="4" t="s">
        <v>86</v>
      </c>
      <c r="H21" s="13" t="s">
        <v>122</v>
      </c>
      <c r="I21" s="9" t="s">
        <v>74</v>
      </c>
    </row>
    <row r="22" customFormat="false" ht="23.85" hidden="false" customHeight="false" outlineLevel="0" collapsed="false">
      <c r="A22" s="9" t="n">
        <v>16</v>
      </c>
      <c r="B22" s="4" t="s">
        <v>123</v>
      </c>
      <c r="C22" s="4" t="s">
        <v>124</v>
      </c>
      <c r="D22" s="10" t="n">
        <v>1</v>
      </c>
      <c r="E22" s="11" t="n">
        <v>97990</v>
      </c>
      <c r="F22" s="12" t="n">
        <f aca="false">D22*E22</f>
        <v>97990</v>
      </c>
      <c r="G22" s="4" t="s">
        <v>86</v>
      </c>
      <c r="H22" s="13" t="s">
        <v>125</v>
      </c>
      <c r="I22" s="9" t="s">
        <v>74</v>
      </c>
    </row>
    <row r="23" customFormat="false" ht="23.85" hidden="false" customHeight="false" outlineLevel="0" collapsed="false">
      <c r="A23" s="9" t="n">
        <v>17</v>
      </c>
      <c r="B23" s="4" t="s">
        <v>126</v>
      </c>
      <c r="C23" s="4" t="s">
        <v>89</v>
      </c>
      <c r="D23" s="10" t="n">
        <v>1</v>
      </c>
      <c r="E23" s="11" t="n">
        <v>35000</v>
      </c>
      <c r="F23" s="12" t="n">
        <f aca="false">D23*E23</f>
        <v>35000</v>
      </c>
      <c r="G23" s="4" t="s">
        <v>86</v>
      </c>
      <c r="H23" s="13" t="s">
        <v>90</v>
      </c>
      <c r="I23" s="9" t="s">
        <v>83</v>
      </c>
    </row>
    <row r="24" customFormat="false" ht="23.85" hidden="false" customHeight="false" outlineLevel="0" collapsed="false">
      <c r="A24" s="9" t="n">
        <v>18</v>
      </c>
      <c r="B24" s="4" t="s">
        <v>127</v>
      </c>
      <c r="C24" s="4" t="s">
        <v>128</v>
      </c>
      <c r="D24" s="10" t="n">
        <v>2</v>
      </c>
      <c r="E24" s="11" t="n">
        <v>60668</v>
      </c>
      <c r="F24" s="12" t="n">
        <f aca="false">D24*E24</f>
        <v>121336</v>
      </c>
      <c r="G24" s="4" t="s">
        <v>129</v>
      </c>
      <c r="H24" s="13" t="s">
        <v>130</v>
      </c>
      <c r="I24" s="9" t="s">
        <v>74</v>
      </c>
    </row>
    <row r="25" customFormat="false" ht="15" hidden="false" customHeight="false" outlineLevel="0" collapsed="false">
      <c r="A25" s="9" t="n">
        <v>19</v>
      </c>
      <c r="B25" s="4" t="s">
        <v>131</v>
      </c>
      <c r="C25" s="4" t="s">
        <v>132</v>
      </c>
      <c r="D25" s="10" t="n">
        <v>1</v>
      </c>
      <c r="E25" s="11" t="n">
        <v>8470</v>
      </c>
      <c r="F25" s="12" t="n">
        <f aca="false">D25*E25</f>
        <v>8470</v>
      </c>
      <c r="G25" s="4" t="s">
        <v>86</v>
      </c>
      <c r="H25" s="13" t="s">
        <v>133</v>
      </c>
      <c r="I25" s="9" t="s">
        <v>74</v>
      </c>
    </row>
    <row r="26" customFormat="false" ht="22.35" hidden="false" customHeight="false" outlineLevel="0" collapsed="false">
      <c r="A26" s="9" t="n">
        <v>20</v>
      </c>
      <c r="B26" s="4" t="s">
        <v>134</v>
      </c>
      <c r="C26" s="4" t="s">
        <v>135</v>
      </c>
      <c r="D26" s="10" t="n">
        <v>1</v>
      </c>
      <c r="E26" s="11" t="n">
        <v>11275</v>
      </c>
      <c r="F26" s="12" t="n">
        <f aca="false">D26*E26</f>
        <v>11275</v>
      </c>
      <c r="G26" s="4" t="s">
        <v>118</v>
      </c>
      <c r="H26" s="13" t="s">
        <v>136</v>
      </c>
      <c r="I26" s="9" t="s">
        <v>74</v>
      </c>
    </row>
    <row r="27" customFormat="false" ht="15" hidden="false" customHeight="false" outlineLevel="0" collapsed="false">
      <c r="A27" s="9" t="n">
        <v>21</v>
      </c>
      <c r="B27" s="4" t="s">
        <v>137</v>
      </c>
      <c r="C27" s="4" t="s">
        <v>138</v>
      </c>
      <c r="D27" s="10" t="n">
        <v>1</v>
      </c>
      <c r="E27" s="11" t="n">
        <v>6000</v>
      </c>
      <c r="F27" s="12" t="n">
        <f aca="false">D27*E27</f>
        <v>6000</v>
      </c>
      <c r="G27" s="4" t="s">
        <v>114</v>
      </c>
      <c r="H27" s="13" t="s">
        <v>139</v>
      </c>
      <c r="I27" s="9" t="s">
        <v>83</v>
      </c>
    </row>
    <row r="28" customFormat="false" ht="23.85" hidden="false" customHeight="false" outlineLevel="0" collapsed="false">
      <c r="A28" s="9" t="n">
        <v>22</v>
      </c>
      <c r="B28" s="4" t="s">
        <v>140</v>
      </c>
      <c r="C28" s="4" t="s">
        <v>141</v>
      </c>
      <c r="D28" s="10" t="n">
        <v>1</v>
      </c>
      <c r="E28" s="11" t="n">
        <v>24990</v>
      </c>
      <c r="F28" s="12" t="n">
        <f aca="false">D28*E28</f>
        <v>24990</v>
      </c>
      <c r="G28" s="4" t="s">
        <v>142</v>
      </c>
      <c r="H28" s="13" t="s">
        <v>143</v>
      </c>
      <c r="I28" s="9" t="s">
        <v>74</v>
      </c>
    </row>
    <row r="29" customFormat="false" ht="23.85" hidden="false" customHeight="false" outlineLevel="0" collapsed="false">
      <c r="A29" s="9" t="n">
        <v>23</v>
      </c>
      <c r="B29" s="4" t="s">
        <v>144</v>
      </c>
      <c r="C29" s="4" t="s">
        <v>145</v>
      </c>
      <c r="D29" s="10" t="n">
        <v>1</v>
      </c>
      <c r="E29" s="11" t="n">
        <v>16690</v>
      </c>
      <c r="F29" s="12" t="n">
        <f aca="false">D29*E29</f>
        <v>16690</v>
      </c>
      <c r="G29" s="4" t="s">
        <v>146</v>
      </c>
      <c r="H29" s="13" t="s">
        <v>147</v>
      </c>
      <c r="I29" s="9" t="s">
        <v>74</v>
      </c>
    </row>
    <row r="30" customFormat="false" ht="15" hidden="false" customHeight="false" outlineLevel="0" collapsed="false">
      <c r="A30" s="9" t="n">
        <v>24</v>
      </c>
      <c r="B30" s="4" t="s">
        <v>148</v>
      </c>
      <c r="C30" s="4" t="s">
        <v>149</v>
      </c>
      <c r="D30" s="10" t="n">
        <v>1</v>
      </c>
      <c r="E30" s="11" t="n">
        <v>8000</v>
      </c>
      <c r="F30" s="12" t="n">
        <f aca="false">D30*E30</f>
        <v>8000</v>
      </c>
      <c r="G30" s="4" t="s">
        <v>114</v>
      </c>
      <c r="H30" s="13" t="s">
        <v>139</v>
      </c>
      <c r="I30" s="9" t="s">
        <v>83</v>
      </c>
    </row>
    <row r="31" customFormat="false" ht="15" hidden="false" customHeight="false" outlineLevel="0" collapsed="false">
      <c r="A31" s="7"/>
      <c r="B31" s="8" t="s">
        <v>150</v>
      </c>
      <c r="C31" s="7"/>
      <c r="D31" s="7"/>
      <c r="E31" s="7"/>
      <c r="F31" s="7"/>
      <c r="G31" s="7"/>
      <c r="H31" s="7"/>
      <c r="I31" s="7"/>
    </row>
    <row r="32" customFormat="false" ht="23.85" hidden="false" customHeight="false" outlineLevel="0" collapsed="false">
      <c r="A32" s="9" t="n">
        <v>25</v>
      </c>
      <c r="B32" s="4" t="s">
        <v>151</v>
      </c>
      <c r="C32" s="4" t="s">
        <v>152</v>
      </c>
      <c r="D32" s="10" t="n">
        <v>1</v>
      </c>
      <c r="E32" s="11" t="n">
        <v>10000</v>
      </c>
      <c r="F32" s="12" t="n">
        <f aca="false">D32*E32</f>
        <v>10000</v>
      </c>
      <c r="G32" s="4" t="s">
        <v>153</v>
      </c>
      <c r="H32" s="13" t="s">
        <v>154</v>
      </c>
      <c r="I32" s="9" t="s">
        <v>83</v>
      </c>
    </row>
    <row r="33" customFormat="false" ht="23.85" hidden="false" customHeight="false" outlineLevel="0" collapsed="false">
      <c r="A33" s="9" t="n">
        <v>26</v>
      </c>
      <c r="B33" s="4" t="s">
        <v>155</v>
      </c>
      <c r="C33" s="4" t="s">
        <v>156</v>
      </c>
      <c r="D33" s="10" t="n">
        <v>1</v>
      </c>
      <c r="E33" s="11" t="n">
        <v>58000</v>
      </c>
      <c r="F33" s="12" t="n">
        <f aca="false">D33*E33</f>
        <v>58000</v>
      </c>
      <c r="G33" s="4" t="s">
        <v>157</v>
      </c>
      <c r="H33" s="13" t="s">
        <v>158</v>
      </c>
      <c r="I33" s="9" t="s">
        <v>74</v>
      </c>
    </row>
    <row r="34" customFormat="false" ht="23.85" hidden="false" customHeight="false" outlineLevel="0" collapsed="false">
      <c r="A34" s="9" t="n">
        <v>27</v>
      </c>
      <c r="B34" s="4" t="s">
        <v>159</v>
      </c>
      <c r="C34" s="4" t="s">
        <v>160</v>
      </c>
      <c r="D34" s="10" t="n">
        <v>1</v>
      </c>
      <c r="E34" s="11" t="n">
        <v>12000</v>
      </c>
      <c r="F34" s="12" t="n">
        <f aca="false">D34*E34</f>
        <v>12000</v>
      </c>
      <c r="G34" s="4" t="s">
        <v>114</v>
      </c>
      <c r="H34" s="13" t="s">
        <v>139</v>
      </c>
      <c r="I34" s="9" t="s">
        <v>83</v>
      </c>
    </row>
    <row r="35" customFormat="false" ht="15" hidden="false" customHeight="false" outlineLevel="0" collapsed="false">
      <c r="A35" s="9" t="n">
        <v>28</v>
      </c>
      <c r="B35" s="4" t="s">
        <v>161</v>
      </c>
      <c r="C35" s="4" t="s">
        <v>162</v>
      </c>
      <c r="D35" s="10" t="n">
        <v>1</v>
      </c>
      <c r="E35" s="11" t="n">
        <v>3000</v>
      </c>
      <c r="F35" s="12" t="n">
        <f aca="false">D35*E35</f>
        <v>3000</v>
      </c>
      <c r="G35" s="4" t="s">
        <v>163</v>
      </c>
      <c r="H35" s="13" t="s">
        <v>139</v>
      </c>
      <c r="I35" s="9" t="s">
        <v>83</v>
      </c>
    </row>
    <row r="36" customFormat="false" ht="23.85" hidden="false" customHeight="false" outlineLevel="0" collapsed="false">
      <c r="A36" s="9" t="n">
        <v>29</v>
      </c>
      <c r="B36" s="4" t="s">
        <v>164</v>
      </c>
      <c r="C36" s="4" t="s">
        <v>165</v>
      </c>
      <c r="D36" s="10" t="n">
        <v>1</v>
      </c>
      <c r="E36" s="11" t="n">
        <v>8000</v>
      </c>
      <c r="F36" s="12" t="n">
        <f aca="false">D36*E36</f>
        <v>8000</v>
      </c>
      <c r="G36" s="4" t="s">
        <v>163</v>
      </c>
      <c r="H36" s="13" t="s">
        <v>139</v>
      </c>
      <c r="I36" s="9" t="s">
        <v>83</v>
      </c>
    </row>
    <row r="37" customFormat="false" ht="15" hidden="false" customHeight="false" outlineLevel="0" collapsed="false">
      <c r="A37" s="9" t="n">
        <v>30</v>
      </c>
      <c r="B37" s="4" t="s">
        <v>166</v>
      </c>
      <c r="C37" s="4" t="s">
        <v>167</v>
      </c>
      <c r="D37" s="10" t="n">
        <v>1</v>
      </c>
      <c r="E37" s="11" t="n">
        <v>19000</v>
      </c>
      <c r="F37" s="12" t="n">
        <f aca="false">D37*E37</f>
        <v>19000</v>
      </c>
      <c r="G37" s="4" t="s">
        <v>114</v>
      </c>
      <c r="H37" s="13" t="s">
        <v>168</v>
      </c>
      <c r="I37" s="9" t="s">
        <v>83</v>
      </c>
    </row>
    <row r="38" customFormat="false" ht="15" hidden="false" customHeight="false" outlineLevel="0" collapsed="false">
      <c r="A38" s="14"/>
      <c r="B38" s="15" t="s">
        <v>169</v>
      </c>
      <c r="C38" s="14"/>
      <c r="D38" s="14"/>
      <c r="E38" s="14"/>
      <c r="F38" s="16" t="n">
        <f aca="false">F6+F7+F8+F9+F10+F11+F12+F13+F14+F15+F16+F17+F19+F20+F21+F22+F23+F24+F25+F26+F27+F28+F29+F30+F32+F33+F34+F35+F36+F37</f>
        <v>1262362</v>
      </c>
      <c r="G38" s="14"/>
      <c r="H38" s="14"/>
      <c r="I38" s="14"/>
    </row>
    <row r="39" customFormat="false" ht="15" hidden="false" customHeight="false" outlineLevel="0" collapsed="false">
      <c r="A39" s="17"/>
      <c r="B39" s="18" t="s">
        <v>170</v>
      </c>
      <c r="C39" s="17"/>
      <c r="D39" s="17"/>
      <c r="E39" s="17"/>
      <c r="F39" s="19" t="n">
        <f aca="false">SUMIF($I$6:$I$37,"Листинг",$F$6:$F$37)</f>
        <v>576362</v>
      </c>
      <c r="G39" s="17"/>
      <c r="H39" s="17"/>
      <c r="I39" s="17"/>
    </row>
    <row r="40" customFormat="false" ht="15" hidden="false" customHeight="false" outlineLevel="0" collapsed="false">
      <c r="A40" s="17"/>
      <c r="B40" s="18" t="s">
        <v>171</v>
      </c>
      <c r="C40" s="17"/>
      <c r="D40" s="17"/>
      <c r="E40" s="17"/>
      <c r="F40" s="19" t="n">
        <f aca="false">SUMIF($I$6:$I$37,"По счёту",$F$6:$F$37)</f>
        <v>420000</v>
      </c>
      <c r="G40" s="17"/>
      <c r="H40" s="17"/>
      <c r="I40" s="17"/>
    </row>
    <row r="41" customFormat="false" ht="15" hidden="false" customHeight="false" outlineLevel="0" collapsed="false">
      <c r="A41" s="17"/>
      <c r="B41" s="18" t="s">
        <v>172</v>
      </c>
      <c r="C41" s="17"/>
      <c r="D41" s="17"/>
      <c r="E41" s="17"/>
      <c r="F41" s="19" t="n">
        <f aca="false">SUMIF($I$6:$I$37,"Оценка",$F$6:$F$37)</f>
        <v>266000</v>
      </c>
      <c r="G41" s="17"/>
      <c r="H41" s="17"/>
      <c r="I41" s="17"/>
    </row>
    <row r="42" customFormat="false" ht="15" hidden="false" customHeight="false" outlineLevel="0" collapsed="false">
      <c r="A42" s="17"/>
      <c r="B42" s="20" t="s">
        <v>173</v>
      </c>
      <c r="C42" s="17"/>
      <c r="D42" s="17"/>
      <c r="E42" s="17"/>
      <c r="F42" s="21" t="n">
        <f aca="false">ROUND(F38*0.1,-3)</f>
        <v>126000</v>
      </c>
      <c r="G42" s="17"/>
      <c r="H42" s="17"/>
      <c r="I42" s="17"/>
    </row>
    <row r="43" customFormat="false" ht="15" hidden="false" customHeight="false" outlineLevel="0" collapsed="false">
      <c r="A43" s="14"/>
      <c r="B43" s="15" t="s">
        <v>174</v>
      </c>
      <c r="C43" s="14"/>
      <c r="D43" s="14"/>
      <c r="E43" s="14"/>
      <c r="F43" s="16" t="n">
        <f aca="false">F38+F42</f>
        <v>1388362</v>
      </c>
      <c r="G43" s="14"/>
      <c r="H43" s="14"/>
      <c r="I43" s="14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176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62</v>
      </c>
      <c r="C5" s="7"/>
      <c r="D5" s="7"/>
      <c r="E5" s="7"/>
      <c r="F5" s="7"/>
      <c r="G5" s="7"/>
      <c r="H5" s="7"/>
      <c r="I5" s="7"/>
    </row>
    <row r="6" customFormat="false" ht="32.8" hidden="false" customHeight="false" outlineLevel="0" collapsed="false">
      <c r="A6" s="9" t="n">
        <v>1</v>
      </c>
      <c r="B6" s="4" t="s">
        <v>177</v>
      </c>
      <c r="C6" s="4" t="s">
        <v>178</v>
      </c>
      <c r="D6" s="10" t="n">
        <v>2</v>
      </c>
      <c r="E6" s="11" t="n">
        <v>160000</v>
      </c>
      <c r="F6" s="12" t="n">
        <f aca="false">D6*E6</f>
        <v>320000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46.25" hidden="false" customHeight="false" outlineLevel="0" collapsed="false">
      <c r="A9" s="9" t="n">
        <v>4</v>
      </c>
      <c r="B9" s="4" t="s">
        <v>179</v>
      </c>
      <c r="C9" s="4" t="s">
        <v>180</v>
      </c>
      <c r="D9" s="10" t="n">
        <v>1</v>
      </c>
      <c r="E9" s="11" t="n">
        <v>550000</v>
      </c>
      <c r="F9" s="12" t="n">
        <f aca="false">D9*E9</f>
        <v>550000</v>
      </c>
      <c r="G9" s="4" t="s">
        <v>181</v>
      </c>
      <c r="H9" s="13" t="s">
        <v>182</v>
      </c>
      <c r="I9" s="9" t="s">
        <v>67</v>
      </c>
    </row>
    <row r="10" customFormat="false" ht="15" hidden="false" customHeight="false" outlineLevel="0" collapsed="false">
      <c r="A10" s="9" t="n">
        <v>5</v>
      </c>
      <c r="B10" s="4" t="s">
        <v>88</v>
      </c>
      <c r="C10" s="4" t="s">
        <v>183</v>
      </c>
      <c r="D10" s="10" t="n">
        <v>1</v>
      </c>
      <c r="E10" s="11" t="n">
        <v>69990</v>
      </c>
      <c r="F10" s="12" t="n">
        <f aca="false">D10*E10</f>
        <v>69990</v>
      </c>
      <c r="G10" s="4" t="s">
        <v>86</v>
      </c>
      <c r="H10" s="13" t="s">
        <v>184</v>
      </c>
      <c r="I10" s="9" t="s">
        <v>74</v>
      </c>
    </row>
    <row r="11" customFormat="false" ht="32.8" hidden="false" customHeight="false" outlineLevel="0" collapsed="false">
      <c r="A11" s="9" t="n">
        <v>6</v>
      </c>
      <c r="B11" s="4" t="s">
        <v>91</v>
      </c>
      <c r="C11" s="4" t="s">
        <v>92</v>
      </c>
      <c r="D11" s="10" t="n">
        <v>1</v>
      </c>
      <c r="E11" s="11" t="n">
        <v>55000</v>
      </c>
      <c r="F11" s="12" t="n">
        <f aca="false">D11*E11</f>
        <v>55000</v>
      </c>
      <c r="G11" s="4" t="s">
        <v>93</v>
      </c>
      <c r="H11" s="13" t="s">
        <v>94</v>
      </c>
      <c r="I11" s="9" t="s">
        <v>67</v>
      </c>
    </row>
    <row r="12" customFormat="false" ht="23.85" hidden="false" customHeight="false" outlineLevel="0" collapsed="false">
      <c r="A12" s="9" t="n">
        <v>7</v>
      </c>
      <c r="B12" s="4" t="s">
        <v>95</v>
      </c>
      <c r="C12" s="4" t="s">
        <v>96</v>
      </c>
      <c r="D12" s="10" t="n">
        <v>1</v>
      </c>
      <c r="E12" s="11" t="n">
        <v>25000</v>
      </c>
      <c r="F12" s="12" t="n">
        <f aca="false">D12*E12</f>
        <v>25000</v>
      </c>
      <c r="G12" s="4" t="s">
        <v>97</v>
      </c>
      <c r="H12" s="13" t="s">
        <v>98</v>
      </c>
      <c r="I12" s="9" t="s">
        <v>83</v>
      </c>
    </row>
    <row r="13" customFormat="false" ht="35.05" hidden="false" customHeight="false" outlineLevel="0" collapsed="false">
      <c r="A13" s="9" t="n">
        <v>8</v>
      </c>
      <c r="B13" s="4" t="s">
        <v>185</v>
      </c>
      <c r="C13" s="4" t="s">
        <v>186</v>
      </c>
      <c r="D13" s="10" t="n">
        <v>1</v>
      </c>
      <c r="E13" s="11" t="n">
        <v>50000</v>
      </c>
      <c r="F13" s="12" t="n">
        <f aca="false">D13*E13</f>
        <v>50000</v>
      </c>
      <c r="G13" s="4" t="s">
        <v>101</v>
      </c>
      <c r="H13" s="13" t="s">
        <v>102</v>
      </c>
      <c r="I13" s="9" t="s">
        <v>83</v>
      </c>
    </row>
    <row r="14" customFormat="false" ht="23.85" hidden="false" customHeight="false" outlineLevel="0" collapsed="false">
      <c r="A14" s="9" t="n">
        <v>9</v>
      </c>
      <c r="B14" s="4" t="s">
        <v>103</v>
      </c>
      <c r="C14" s="4" t="s">
        <v>104</v>
      </c>
      <c r="D14" s="10" t="n">
        <v>1</v>
      </c>
      <c r="E14" s="11" t="n">
        <v>30000</v>
      </c>
      <c r="F14" s="12" t="n">
        <f aca="false">D14*E14</f>
        <v>30000</v>
      </c>
      <c r="G14" s="4" t="s">
        <v>105</v>
      </c>
      <c r="H14" s="13" t="s">
        <v>106</v>
      </c>
      <c r="I14" s="9" t="s">
        <v>83</v>
      </c>
    </row>
    <row r="15" customFormat="false" ht="23.85" hidden="false" customHeight="false" outlineLevel="0" collapsed="false">
      <c r="A15" s="9" t="n">
        <v>10</v>
      </c>
      <c r="B15" s="4" t="s">
        <v>187</v>
      </c>
      <c r="C15" s="4" t="s">
        <v>108</v>
      </c>
      <c r="D15" s="10" t="n">
        <v>1</v>
      </c>
      <c r="E15" s="11" t="n">
        <v>60000</v>
      </c>
      <c r="F15" s="12" t="n">
        <f aca="false">D15*E15</f>
        <v>60000</v>
      </c>
      <c r="G15" s="4" t="s">
        <v>109</v>
      </c>
      <c r="H15" s="13" t="s">
        <v>110</v>
      </c>
      <c r="I15" s="9" t="s">
        <v>83</v>
      </c>
    </row>
    <row r="16" customFormat="false" ht="15" hidden="false" customHeight="false" outlineLevel="0" collapsed="false">
      <c r="A16" s="7"/>
      <c r="B16" s="8" t="s">
        <v>188</v>
      </c>
      <c r="C16" s="7"/>
      <c r="D16" s="7"/>
      <c r="E16" s="7"/>
      <c r="F16" s="7"/>
      <c r="G16" s="7"/>
      <c r="H16" s="7"/>
      <c r="I16" s="7"/>
    </row>
    <row r="17" customFormat="false" ht="22.35" hidden="false" customHeight="false" outlineLevel="0" collapsed="false">
      <c r="A17" s="9" t="n">
        <v>11</v>
      </c>
      <c r="B17" s="4" t="s">
        <v>112</v>
      </c>
      <c r="C17" s="4" t="s">
        <v>113</v>
      </c>
      <c r="D17" s="10" t="n">
        <v>1</v>
      </c>
      <c r="E17" s="11" t="n">
        <v>65000</v>
      </c>
      <c r="F17" s="12" t="n">
        <f aca="false">D17*E17</f>
        <v>65000</v>
      </c>
      <c r="G17" s="4" t="s">
        <v>114</v>
      </c>
      <c r="H17" s="13" t="s">
        <v>115</v>
      </c>
      <c r="I17" s="9" t="s">
        <v>67</v>
      </c>
    </row>
    <row r="18" customFormat="false" ht="23.85" hidden="false" customHeight="false" outlineLevel="0" collapsed="false">
      <c r="A18" s="9" t="n">
        <v>12</v>
      </c>
      <c r="B18" s="4" t="s">
        <v>116</v>
      </c>
      <c r="C18" s="4" t="s">
        <v>117</v>
      </c>
      <c r="D18" s="10" t="n">
        <v>1</v>
      </c>
      <c r="E18" s="11" t="n">
        <v>32847</v>
      </c>
      <c r="F18" s="12" t="n">
        <f aca="false">D18*E18</f>
        <v>32847</v>
      </c>
      <c r="G18" s="4" t="s">
        <v>118</v>
      </c>
      <c r="H18" s="13" t="s">
        <v>119</v>
      </c>
      <c r="I18" s="9" t="s">
        <v>74</v>
      </c>
    </row>
    <row r="19" customFormat="false" ht="23.85" hidden="false" customHeight="false" outlineLevel="0" collapsed="false">
      <c r="A19" s="9" t="n">
        <v>13</v>
      </c>
      <c r="B19" s="4" t="s">
        <v>120</v>
      </c>
      <c r="C19" s="4" t="s">
        <v>121</v>
      </c>
      <c r="D19" s="10" t="n">
        <v>1</v>
      </c>
      <c r="E19" s="11" t="n">
        <v>90990</v>
      </c>
      <c r="F19" s="12" t="n">
        <f aca="false">D19*E19</f>
        <v>90990</v>
      </c>
      <c r="G19" s="4" t="s">
        <v>86</v>
      </c>
      <c r="H19" s="13" t="s">
        <v>122</v>
      </c>
      <c r="I19" s="9" t="s">
        <v>74</v>
      </c>
    </row>
    <row r="20" customFormat="false" ht="23.85" hidden="false" customHeight="false" outlineLevel="0" collapsed="false">
      <c r="A20" s="9" t="n">
        <v>14</v>
      </c>
      <c r="B20" s="4" t="s">
        <v>123</v>
      </c>
      <c r="C20" s="4" t="s">
        <v>124</v>
      </c>
      <c r="D20" s="10" t="n">
        <v>1</v>
      </c>
      <c r="E20" s="11" t="n">
        <v>97990</v>
      </c>
      <c r="F20" s="12" t="n">
        <f aca="false">D20*E20</f>
        <v>97990</v>
      </c>
      <c r="G20" s="4" t="s">
        <v>86</v>
      </c>
      <c r="H20" s="13" t="s">
        <v>125</v>
      </c>
      <c r="I20" s="9" t="s">
        <v>74</v>
      </c>
    </row>
    <row r="21" customFormat="false" ht="23.85" hidden="false" customHeight="false" outlineLevel="0" collapsed="false">
      <c r="A21" s="9" t="n">
        <v>15</v>
      </c>
      <c r="B21" s="4" t="s">
        <v>189</v>
      </c>
      <c r="C21" s="4" t="s">
        <v>183</v>
      </c>
      <c r="D21" s="10" t="n">
        <v>1</v>
      </c>
      <c r="E21" s="11" t="n">
        <v>69990</v>
      </c>
      <c r="F21" s="12" t="n">
        <f aca="false">D21*E21</f>
        <v>69990</v>
      </c>
      <c r="G21" s="4" t="s">
        <v>86</v>
      </c>
      <c r="H21" s="13" t="s">
        <v>184</v>
      </c>
      <c r="I21" s="9" t="s">
        <v>74</v>
      </c>
    </row>
    <row r="22" customFormat="false" ht="23.85" hidden="false" customHeight="false" outlineLevel="0" collapsed="false">
      <c r="A22" s="9" t="n">
        <v>16</v>
      </c>
      <c r="B22" s="4" t="s">
        <v>127</v>
      </c>
      <c r="C22" s="4" t="s">
        <v>128</v>
      </c>
      <c r="D22" s="10" t="n">
        <v>2</v>
      </c>
      <c r="E22" s="11" t="n">
        <v>60668</v>
      </c>
      <c r="F22" s="12" t="n">
        <f aca="false">D22*E22</f>
        <v>121336</v>
      </c>
      <c r="G22" s="4" t="s">
        <v>129</v>
      </c>
      <c r="H22" s="13" t="s">
        <v>130</v>
      </c>
      <c r="I22" s="9" t="s">
        <v>74</v>
      </c>
    </row>
    <row r="23" customFormat="false" ht="15" hidden="false" customHeight="false" outlineLevel="0" collapsed="false">
      <c r="A23" s="9" t="n">
        <v>17</v>
      </c>
      <c r="B23" s="4" t="s">
        <v>131</v>
      </c>
      <c r="C23" s="4" t="s">
        <v>132</v>
      </c>
      <c r="D23" s="10" t="n">
        <v>1</v>
      </c>
      <c r="E23" s="11" t="n">
        <v>8470</v>
      </c>
      <c r="F23" s="12" t="n">
        <f aca="false">D23*E23</f>
        <v>8470</v>
      </c>
      <c r="G23" s="4" t="s">
        <v>86</v>
      </c>
      <c r="H23" s="13" t="s">
        <v>133</v>
      </c>
      <c r="I23" s="9" t="s">
        <v>74</v>
      </c>
    </row>
    <row r="24" customFormat="false" ht="22.35" hidden="false" customHeight="false" outlineLevel="0" collapsed="false">
      <c r="A24" s="9" t="n">
        <v>18</v>
      </c>
      <c r="B24" s="4" t="s">
        <v>134</v>
      </c>
      <c r="C24" s="4" t="s">
        <v>135</v>
      </c>
      <c r="D24" s="10" t="n">
        <v>1</v>
      </c>
      <c r="E24" s="11" t="n">
        <v>11275</v>
      </c>
      <c r="F24" s="12" t="n">
        <f aca="false">D24*E24</f>
        <v>11275</v>
      </c>
      <c r="G24" s="4" t="s">
        <v>118</v>
      </c>
      <c r="H24" s="13" t="s">
        <v>136</v>
      </c>
      <c r="I24" s="9" t="s">
        <v>74</v>
      </c>
    </row>
    <row r="25" customFormat="false" ht="15" hidden="false" customHeight="false" outlineLevel="0" collapsed="false">
      <c r="A25" s="9" t="n">
        <v>19</v>
      </c>
      <c r="B25" s="4" t="s">
        <v>137</v>
      </c>
      <c r="C25" s="4" t="s">
        <v>138</v>
      </c>
      <c r="D25" s="10" t="n">
        <v>1</v>
      </c>
      <c r="E25" s="11" t="n">
        <v>6000</v>
      </c>
      <c r="F25" s="12" t="n">
        <f aca="false">D25*E25</f>
        <v>6000</v>
      </c>
      <c r="G25" s="4" t="s">
        <v>114</v>
      </c>
      <c r="H25" s="13" t="s">
        <v>139</v>
      </c>
      <c r="I25" s="9" t="s">
        <v>83</v>
      </c>
    </row>
    <row r="26" customFormat="false" ht="23.85" hidden="false" customHeight="false" outlineLevel="0" collapsed="false">
      <c r="A26" s="9" t="n">
        <v>20</v>
      </c>
      <c r="B26" s="4" t="s">
        <v>140</v>
      </c>
      <c r="C26" s="4" t="s">
        <v>141</v>
      </c>
      <c r="D26" s="10" t="n">
        <v>2</v>
      </c>
      <c r="E26" s="11" t="n">
        <v>24990</v>
      </c>
      <c r="F26" s="12" t="n">
        <f aca="false">D26*E26</f>
        <v>49980</v>
      </c>
      <c r="G26" s="4" t="s">
        <v>142</v>
      </c>
      <c r="H26" s="13" t="s">
        <v>143</v>
      </c>
      <c r="I26" s="9" t="s">
        <v>74</v>
      </c>
    </row>
    <row r="27" customFormat="false" ht="23.85" hidden="false" customHeight="false" outlineLevel="0" collapsed="false">
      <c r="A27" s="9" t="n">
        <v>21</v>
      </c>
      <c r="B27" s="4" t="s">
        <v>144</v>
      </c>
      <c r="C27" s="4" t="s">
        <v>145</v>
      </c>
      <c r="D27" s="10" t="n">
        <v>1</v>
      </c>
      <c r="E27" s="11" t="n">
        <v>16690</v>
      </c>
      <c r="F27" s="12" t="n">
        <f aca="false">D27*E27</f>
        <v>16690</v>
      </c>
      <c r="G27" s="4" t="s">
        <v>146</v>
      </c>
      <c r="H27" s="13" t="s">
        <v>147</v>
      </c>
      <c r="I27" s="9" t="s">
        <v>74</v>
      </c>
    </row>
    <row r="28" customFormat="false" ht="15" hidden="false" customHeight="false" outlineLevel="0" collapsed="false">
      <c r="A28" s="9" t="n">
        <v>22</v>
      </c>
      <c r="B28" s="4" t="s">
        <v>190</v>
      </c>
      <c r="C28" s="4" t="s">
        <v>191</v>
      </c>
      <c r="D28" s="10" t="n">
        <v>1</v>
      </c>
      <c r="E28" s="11" t="n">
        <v>15000</v>
      </c>
      <c r="F28" s="12" t="n">
        <f aca="false">D28*E28</f>
        <v>15000</v>
      </c>
      <c r="G28" s="4" t="s">
        <v>114</v>
      </c>
      <c r="H28" s="13" t="s">
        <v>139</v>
      </c>
      <c r="I28" s="9" t="s">
        <v>83</v>
      </c>
    </row>
    <row r="29" customFormat="false" ht="23.85" hidden="false" customHeight="false" outlineLevel="0" collapsed="false">
      <c r="A29" s="9" t="n">
        <v>23</v>
      </c>
      <c r="B29" s="4" t="s">
        <v>192</v>
      </c>
      <c r="C29" s="4" t="s">
        <v>193</v>
      </c>
      <c r="D29" s="10" t="n">
        <v>1</v>
      </c>
      <c r="E29" s="11" t="n">
        <v>17090</v>
      </c>
      <c r="F29" s="12" t="n">
        <f aca="false">D29*E29</f>
        <v>17090</v>
      </c>
      <c r="G29" s="4" t="s">
        <v>194</v>
      </c>
      <c r="H29" s="13" t="s">
        <v>195</v>
      </c>
      <c r="I29" s="9" t="s">
        <v>74</v>
      </c>
    </row>
    <row r="30" customFormat="false" ht="15" hidden="false" customHeight="false" outlineLevel="0" collapsed="false">
      <c r="A30" s="9" t="n">
        <v>24</v>
      </c>
      <c r="B30" s="4" t="s">
        <v>196</v>
      </c>
      <c r="C30" s="4" t="s">
        <v>85</v>
      </c>
      <c r="D30" s="10" t="n">
        <v>1</v>
      </c>
      <c r="E30" s="11" t="n">
        <v>2575</v>
      </c>
      <c r="F30" s="12" t="n">
        <f aca="false">D30*E30</f>
        <v>2575</v>
      </c>
      <c r="G30" s="4" t="s">
        <v>86</v>
      </c>
      <c r="H30" s="13" t="s">
        <v>87</v>
      </c>
      <c r="I30" s="9" t="s">
        <v>74</v>
      </c>
    </row>
    <row r="31" customFormat="false" ht="15" hidden="false" customHeight="false" outlineLevel="0" collapsed="false">
      <c r="A31" s="7"/>
      <c r="B31" s="8" t="s">
        <v>150</v>
      </c>
      <c r="C31" s="7"/>
      <c r="D31" s="7"/>
      <c r="E31" s="7"/>
      <c r="F31" s="7"/>
      <c r="G31" s="7"/>
      <c r="H31" s="7"/>
      <c r="I31" s="7"/>
    </row>
    <row r="32" customFormat="false" ht="23.85" hidden="false" customHeight="false" outlineLevel="0" collapsed="false">
      <c r="A32" s="9" t="n">
        <v>25</v>
      </c>
      <c r="B32" s="4" t="s">
        <v>151</v>
      </c>
      <c r="C32" s="4" t="s">
        <v>152</v>
      </c>
      <c r="D32" s="10" t="n">
        <v>1</v>
      </c>
      <c r="E32" s="11" t="n">
        <v>10000</v>
      </c>
      <c r="F32" s="12" t="n">
        <f aca="false">D32*E32</f>
        <v>10000</v>
      </c>
      <c r="G32" s="4" t="s">
        <v>153</v>
      </c>
      <c r="H32" s="13" t="s">
        <v>154</v>
      </c>
      <c r="I32" s="9" t="s">
        <v>83</v>
      </c>
    </row>
    <row r="33" customFormat="false" ht="23.85" hidden="false" customHeight="false" outlineLevel="0" collapsed="false">
      <c r="A33" s="9" t="n">
        <v>26</v>
      </c>
      <c r="B33" s="4" t="s">
        <v>155</v>
      </c>
      <c r="C33" s="4" t="s">
        <v>156</v>
      </c>
      <c r="D33" s="10" t="n">
        <v>1</v>
      </c>
      <c r="E33" s="11" t="n">
        <v>58000</v>
      </c>
      <c r="F33" s="12" t="n">
        <f aca="false">D33*E33</f>
        <v>58000</v>
      </c>
      <c r="G33" s="4" t="s">
        <v>157</v>
      </c>
      <c r="H33" s="13" t="s">
        <v>158</v>
      </c>
      <c r="I33" s="9" t="s">
        <v>74</v>
      </c>
    </row>
    <row r="34" customFormat="false" ht="23.85" hidden="false" customHeight="false" outlineLevel="0" collapsed="false">
      <c r="A34" s="9" t="n">
        <v>27</v>
      </c>
      <c r="B34" s="4" t="s">
        <v>159</v>
      </c>
      <c r="C34" s="4" t="s">
        <v>160</v>
      </c>
      <c r="D34" s="10" t="n">
        <v>1</v>
      </c>
      <c r="E34" s="11" t="n">
        <v>12000</v>
      </c>
      <c r="F34" s="12" t="n">
        <f aca="false">D34*E34</f>
        <v>12000</v>
      </c>
      <c r="G34" s="4" t="s">
        <v>114</v>
      </c>
      <c r="H34" s="13" t="s">
        <v>139</v>
      </c>
      <c r="I34" s="9" t="s">
        <v>83</v>
      </c>
    </row>
    <row r="35" customFormat="false" ht="15" hidden="false" customHeight="false" outlineLevel="0" collapsed="false">
      <c r="A35" s="9" t="n">
        <v>28</v>
      </c>
      <c r="B35" s="4" t="s">
        <v>161</v>
      </c>
      <c r="C35" s="4" t="s">
        <v>162</v>
      </c>
      <c r="D35" s="10" t="n">
        <v>1</v>
      </c>
      <c r="E35" s="11" t="n">
        <v>3000</v>
      </c>
      <c r="F35" s="12" t="n">
        <f aca="false">D35*E35</f>
        <v>3000</v>
      </c>
      <c r="G35" s="4" t="s">
        <v>163</v>
      </c>
      <c r="H35" s="13" t="s">
        <v>139</v>
      </c>
      <c r="I35" s="9" t="s">
        <v>83</v>
      </c>
    </row>
    <row r="36" customFormat="false" ht="23.85" hidden="false" customHeight="false" outlineLevel="0" collapsed="false">
      <c r="A36" s="9" t="n">
        <v>29</v>
      </c>
      <c r="B36" s="4" t="s">
        <v>164</v>
      </c>
      <c r="C36" s="4" t="s">
        <v>165</v>
      </c>
      <c r="D36" s="10" t="n">
        <v>1</v>
      </c>
      <c r="E36" s="11" t="n">
        <v>8000</v>
      </c>
      <c r="F36" s="12" t="n">
        <f aca="false">D36*E36</f>
        <v>8000</v>
      </c>
      <c r="G36" s="4" t="s">
        <v>163</v>
      </c>
      <c r="H36" s="13" t="s">
        <v>139</v>
      </c>
      <c r="I36" s="9" t="s">
        <v>83</v>
      </c>
    </row>
    <row r="37" customFormat="false" ht="15" hidden="false" customHeight="false" outlineLevel="0" collapsed="false">
      <c r="A37" s="9" t="n">
        <v>30</v>
      </c>
      <c r="B37" s="4" t="s">
        <v>166</v>
      </c>
      <c r="C37" s="4" t="s">
        <v>167</v>
      </c>
      <c r="D37" s="10" t="n">
        <v>1</v>
      </c>
      <c r="E37" s="11" t="n">
        <v>19000</v>
      </c>
      <c r="F37" s="12" t="n">
        <f aca="false">D37*E37</f>
        <v>19000</v>
      </c>
      <c r="G37" s="4" t="s">
        <v>114</v>
      </c>
      <c r="H37" s="13" t="s">
        <v>168</v>
      </c>
      <c r="I37" s="9" t="s">
        <v>83</v>
      </c>
    </row>
    <row r="38" customFormat="false" ht="15" hidden="false" customHeight="false" outlineLevel="0" collapsed="false">
      <c r="A38" s="14"/>
      <c r="B38" s="15" t="s">
        <v>169</v>
      </c>
      <c r="C38" s="14"/>
      <c r="D38" s="14"/>
      <c r="E38" s="14"/>
      <c r="F38" s="16" t="n">
        <f aca="false">F6+F7+F8+F9+F10+F11+F12+F13+F14+F15+F17+F18+F19+F20+F21+F22+F23+F24+F25+F26+F27+F28+F29+F30+F32+F33+F34+F35+F36+F37</f>
        <v>1977847</v>
      </c>
      <c r="G38" s="14"/>
      <c r="H38" s="14"/>
      <c r="I38" s="14"/>
    </row>
    <row r="39" customFormat="false" ht="15" hidden="false" customHeight="false" outlineLevel="0" collapsed="false">
      <c r="A39" s="17"/>
      <c r="B39" s="18" t="s">
        <v>170</v>
      </c>
      <c r="C39" s="17"/>
      <c r="D39" s="17"/>
      <c r="E39" s="17"/>
      <c r="F39" s="19" t="n">
        <f aca="false">SUMIF($I$6:$I$37,"Листинг",$F$6:$F$37)</f>
        <v>669847</v>
      </c>
      <c r="G39" s="17"/>
      <c r="H39" s="17"/>
      <c r="I39" s="17"/>
    </row>
    <row r="40" customFormat="false" ht="15" hidden="false" customHeight="false" outlineLevel="0" collapsed="false">
      <c r="A40" s="17"/>
      <c r="B40" s="18" t="s">
        <v>171</v>
      </c>
      <c r="C40" s="17"/>
      <c r="D40" s="17"/>
      <c r="E40" s="17"/>
      <c r="F40" s="19" t="n">
        <f aca="false">SUMIF($I$6:$I$37,"По счёту",$F$6:$F$37)</f>
        <v>1070000</v>
      </c>
      <c r="G40" s="17"/>
      <c r="H40" s="17"/>
      <c r="I40" s="17"/>
    </row>
    <row r="41" customFormat="false" ht="15" hidden="false" customHeight="false" outlineLevel="0" collapsed="false">
      <c r="A41" s="17"/>
      <c r="B41" s="18" t="s">
        <v>172</v>
      </c>
      <c r="C41" s="17"/>
      <c r="D41" s="17"/>
      <c r="E41" s="17"/>
      <c r="F41" s="19" t="n">
        <f aca="false">SUMIF($I$6:$I$37,"Оценка",$F$6:$F$37)</f>
        <v>238000</v>
      </c>
      <c r="G41" s="17"/>
      <c r="H41" s="17"/>
      <c r="I41" s="17"/>
    </row>
    <row r="42" customFormat="false" ht="15" hidden="false" customHeight="false" outlineLevel="0" collapsed="false">
      <c r="A42" s="17"/>
      <c r="B42" s="20" t="s">
        <v>173</v>
      </c>
      <c r="C42" s="17"/>
      <c r="D42" s="17"/>
      <c r="E42" s="17"/>
      <c r="F42" s="21" t="n">
        <f aca="false">ROUND(F38*0.1,-3)</f>
        <v>198000</v>
      </c>
      <c r="G42" s="17"/>
      <c r="H42" s="17"/>
      <c r="I42" s="17"/>
    </row>
    <row r="43" customFormat="false" ht="15" hidden="false" customHeight="false" outlineLevel="0" collapsed="false">
      <c r="A43" s="14"/>
      <c r="B43" s="15" t="s">
        <v>174</v>
      </c>
      <c r="C43" s="14"/>
      <c r="D43" s="14"/>
      <c r="E43" s="14"/>
      <c r="F43" s="16" t="n">
        <f aca="false">F38+F42</f>
        <v>2175847</v>
      </c>
      <c r="G43" s="14"/>
      <c r="H43" s="14"/>
      <c r="I43" s="14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7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198</v>
      </c>
      <c r="B2" s="6"/>
      <c r="C2" s="6"/>
      <c r="D2" s="6"/>
      <c r="E2" s="6"/>
      <c r="F2" s="6"/>
      <c r="G2" s="6"/>
      <c r="H2" s="6"/>
      <c r="I2" s="6"/>
    </row>
    <row r="3" customFormat="false" ht="37.5" hidden="false" customHeight="true" outlineLevel="0" collapsed="false">
      <c r="A3" s="6" t="s">
        <v>52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</row>
    <row r="5" customFormat="false" ht="15" hidden="false" customHeight="false" outlineLevel="0" collapsed="false">
      <c r="A5" s="7"/>
      <c r="B5" s="8" t="s">
        <v>199</v>
      </c>
      <c r="C5" s="7"/>
      <c r="D5" s="7"/>
      <c r="E5" s="7"/>
      <c r="F5" s="7"/>
      <c r="G5" s="7"/>
      <c r="H5" s="7"/>
      <c r="I5" s="7"/>
    </row>
    <row r="6" customFormat="false" ht="32.8" hidden="false" customHeight="false" outlineLevel="0" collapsed="false">
      <c r="A6" s="9" t="n">
        <v>1</v>
      </c>
      <c r="B6" s="4" t="s">
        <v>177</v>
      </c>
      <c r="C6" s="4" t="s">
        <v>178</v>
      </c>
      <c r="D6" s="10" t="n">
        <v>2</v>
      </c>
      <c r="E6" s="11" t="n">
        <v>160000</v>
      </c>
      <c r="F6" s="12" t="n">
        <f aca="false">D6*E6</f>
        <v>320000</v>
      </c>
      <c r="G6" s="4" t="s">
        <v>65</v>
      </c>
      <c r="H6" s="13" t="s">
        <v>66</v>
      </c>
      <c r="I6" s="9" t="s">
        <v>67</v>
      </c>
    </row>
    <row r="7" customFormat="false" ht="32.8" hidden="false" customHeight="false" outlineLevel="0" collapsed="false">
      <c r="A7" s="9" t="n">
        <v>2</v>
      </c>
      <c r="B7" s="4" t="s">
        <v>68</v>
      </c>
      <c r="C7" s="4" t="s">
        <v>69</v>
      </c>
      <c r="D7" s="10" t="n">
        <v>2</v>
      </c>
      <c r="E7" s="11" t="n">
        <v>40000</v>
      </c>
      <c r="F7" s="12" t="n">
        <f aca="false">D7*E7</f>
        <v>80000</v>
      </c>
      <c r="G7" s="4" t="s">
        <v>65</v>
      </c>
      <c r="H7" s="13" t="s">
        <v>66</v>
      </c>
      <c r="I7" s="9" t="s">
        <v>67</v>
      </c>
    </row>
    <row r="8" customFormat="false" ht="23.85" hidden="false" customHeight="false" outlineLevel="0" collapsed="false">
      <c r="A8" s="9" t="n">
        <v>3</v>
      </c>
      <c r="B8" s="4" t="s">
        <v>70</v>
      </c>
      <c r="C8" s="4" t="s">
        <v>71</v>
      </c>
      <c r="D8" s="10" t="n">
        <v>2</v>
      </c>
      <c r="E8" s="11" t="n">
        <v>11312</v>
      </c>
      <c r="F8" s="12" t="n">
        <f aca="false">D8*E8</f>
        <v>22624</v>
      </c>
      <c r="G8" s="4" t="s">
        <v>72</v>
      </c>
      <c r="H8" s="13" t="s">
        <v>73</v>
      </c>
      <c r="I8" s="9" t="s">
        <v>74</v>
      </c>
    </row>
    <row r="9" customFormat="false" ht="46.25" hidden="false" customHeight="false" outlineLevel="0" collapsed="false">
      <c r="A9" s="9" t="n">
        <v>4</v>
      </c>
      <c r="B9" s="4" t="s">
        <v>179</v>
      </c>
      <c r="C9" s="4" t="s">
        <v>180</v>
      </c>
      <c r="D9" s="10" t="n">
        <v>1</v>
      </c>
      <c r="E9" s="11" t="n">
        <v>550000</v>
      </c>
      <c r="F9" s="12" t="n">
        <f aca="false">D9*E9</f>
        <v>550000</v>
      </c>
      <c r="G9" s="4" t="s">
        <v>181</v>
      </c>
      <c r="H9" s="13" t="s">
        <v>182</v>
      </c>
      <c r="I9" s="9" t="s">
        <v>67</v>
      </c>
    </row>
    <row r="10" customFormat="false" ht="15" hidden="false" customHeight="false" outlineLevel="0" collapsed="false">
      <c r="A10" s="9" t="n">
        <v>5</v>
      </c>
      <c r="B10" s="4" t="s">
        <v>88</v>
      </c>
      <c r="C10" s="4" t="s">
        <v>183</v>
      </c>
      <c r="D10" s="10" t="n">
        <v>1</v>
      </c>
      <c r="E10" s="11" t="n">
        <v>69990</v>
      </c>
      <c r="F10" s="12" t="n">
        <f aca="false">D10*E10</f>
        <v>69990</v>
      </c>
      <c r="G10" s="4" t="s">
        <v>86</v>
      </c>
      <c r="H10" s="13" t="s">
        <v>184</v>
      </c>
      <c r="I10" s="9" t="s">
        <v>74</v>
      </c>
    </row>
    <row r="11" customFormat="false" ht="32.8" hidden="false" customHeight="false" outlineLevel="0" collapsed="false">
      <c r="A11" s="9" t="n">
        <v>6</v>
      </c>
      <c r="B11" s="4" t="s">
        <v>91</v>
      </c>
      <c r="C11" s="4" t="s">
        <v>92</v>
      </c>
      <c r="D11" s="10" t="n">
        <v>1</v>
      </c>
      <c r="E11" s="11" t="n">
        <v>55000</v>
      </c>
      <c r="F11" s="12" t="n">
        <f aca="false">D11*E11</f>
        <v>55000</v>
      </c>
      <c r="G11" s="4" t="s">
        <v>93</v>
      </c>
      <c r="H11" s="13" t="s">
        <v>94</v>
      </c>
      <c r="I11" s="9" t="s">
        <v>67</v>
      </c>
    </row>
    <row r="12" customFormat="false" ht="23.85" hidden="false" customHeight="false" outlineLevel="0" collapsed="false">
      <c r="A12" s="9" t="n">
        <v>7</v>
      </c>
      <c r="B12" s="4" t="s">
        <v>95</v>
      </c>
      <c r="C12" s="4" t="s">
        <v>96</v>
      </c>
      <c r="D12" s="10" t="n">
        <v>1</v>
      </c>
      <c r="E12" s="11" t="n">
        <v>25000</v>
      </c>
      <c r="F12" s="12" t="n">
        <f aca="false">D12*E12</f>
        <v>25000</v>
      </c>
      <c r="G12" s="4" t="s">
        <v>97</v>
      </c>
      <c r="H12" s="13" t="s">
        <v>98</v>
      </c>
      <c r="I12" s="9" t="s">
        <v>83</v>
      </c>
    </row>
    <row r="13" customFormat="false" ht="35.05" hidden="false" customHeight="false" outlineLevel="0" collapsed="false">
      <c r="A13" s="9" t="n">
        <v>8</v>
      </c>
      <c r="B13" s="4" t="s">
        <v>185</v>
      </c>
      <c r="C13" s="4" t="s">
        <v>186</v>
      </c>
      <c r="D13" s="10" t="n">
        <v>1</v>
      </c>
      <c r="E13" s="11" t="n">
        <v>50000</v>
      </c>
      <c r="F13" s="12" t="n">
        <f aca="false">D13*E13</f>
        <v>50000</v>
      </c>
      <c r="G13" s="4" t="s">
        <v>101</v>
      </c>
      <c r="H13" s="13" t="s">
        <v>102</v>
      </c>
      <c r="I13" s="9" t="s">
        <v>83</v>
      </c>
    </row>
    <row r="14" customFormat="false" ht="23.85" hidden="false" customHeight="false" outlineLevel="0" collapsed="false">
      <c r="A14" s="9" t="n">
        <v>9</v>
      </c>
      <c r="B14" s="4" t="s">
        <v>103</v>
      </c>
      <c r="C14" s="4" t="s">
        <v>104</v>
      </c>
      <c r="D14" s="10" t="n">
        <v>1</v>
      </c>
      <c r="E14" s="11" t="n">
        <v>30000</v>
      </c>
      <c r="F14" s="12" t="n">
        <f aca="false">D14*E14</f>
        <v>30000</v>
      </c>
      <c r="G14" s="4" t="s">
        <v>105</v>
      </c>
      <c r="H14" s="13" t="s">
        <v>106</v>
      </c>
      <c r="I14" s="9" t="s">
        <v>83</v>
      </c>
    </row>
    <row r="15" customFormat="false" ht="23.85" hidden="false" customHeight="false" outlineLevel="0" collapsed="false">
      <c r="A15" s="9" t="n">
        <v>10</v>
      </c>
      <c r="B15" s="4" t="s">
        <v>187</v>
      </c>
      <c r="C15" s="4" t="s">
        <v>108</v>
      </c>
      <c r="D15" s="10" t="n">
        <v>1</v>
      </c>
      <c r="E15" s="11" t="n">
        <v>60000</v>
      </c>
      <c r="F15" s="12" t="n">
        <f aca="false">D15*E15</f>
        <v>60000</v>
      </c>
      <c r="G15" s="4" t="s">
        <v>109</v>
      </c>
      <c r="H15" s="13" t="s">
        <v>110</v>
      </c>
      <c r="I15" s="9" t="s">
        <v>83</v>
      </c>
    </row>
    <row r="16" customFormat="false" ht="15" hidden="false" customHeight="false" outlineLevel="0" collapsed="false">
      <c r="A16" s="7"/>
      <c r="B16" s="8" t="s">
        <v>200</v>
      </c>
      <c r="C16" s="7"/>
      <c r="D16" s="7"/>
      <c r="E16" s="7"/>
      <c r="F16" s="7"/>
      <c r="G16" s="7"/>
      <c r="H16" s="7"/>
      <c r="I16" s="7"/>
    </row>
    <row r="17" customFormat="false" ht="32.8" hidden="false" customHeight="false" outlineLevel="0" collapsed="false">
      <c r="A17" s="9" t="n">
        <v>11</v>
      </c>
      <c r="B17" s="4" t="s">
        <v>201</v>
      </c>
      <c r="C17" s="4" t="s">
        <v>178</v>
      </c>
      <c r="D17" s="10" t="n">
        <v>1</v>
      </c>
      <c r="E17" s="11" t="n">
        <v>160000</v>
      </c>
      <c r="F17" s="12" t="n">
        <f aca="false">D17*E17</f>
        <v>160000</v>
      </c>
      <c r="G17" s="4" t="s">
        <v>65</v>
      </c>
      <c r="H17" s="13" t="s">
        <v>66</v>
      </c>
      <c r="I17" s="9" t="s">
        <v>67</v>
      </c>
    </row>
    <row r="18" customFormat="false" ht="32.8" hidden="false" customHeight="false" outlineLevel="0" collapsed="false">
      <c r="A18" s="9" t="n">
        <v>12</v>
      </c>
      <c r="B18" s="4" t="s">
        <v>202</v>
      </c>
      <c r="C18" s="4" t="s">
        <v>69</v>
      </c>
      <c r="D18" s="10" t="n">
        <v>1</v>
      </c>
      <c r="E18" s="11" t="n">
        <v>40000</v>
      </c>
      <c r="F18" s="12" t="n">
        <f aca="false">D18*E18</f>
        <v>40000</v>
      </c>
      <c r="G18" s="4" t="s">
        <v>65</v>
      </c>
      <c r="H18" s="13" t="s">
        <v>66</v>
      </c>
      <c r="I18" s="9" t="s">
        <v>67</v>
      </c>
    </row>
    <row r="19" customFormat="false" ht="15" hidden="false" customHeight="false" outlineLevel="0" collapsed="false">
      <c r="A19" s="9" t="n">
        <v>13</v>
      </c>
      <c r="B19" s="4" t="s">
        <v>203</v>
      </c>
      <c r="C19" s="4" t="s">
        <v>183</v>
      </c>
      <c r="D19" s="10" t="n">
        <v>1</v>
      </c>
      <c r="E19" s="11" t="n">
        <v>69990</v>
      </c>
      <c r="F19" s="12" t="n">
        <f aca="false">D19*E19</f>
        <v>69990</v>
      </c>
      <c r="G19" s="4" t="s">
        <v>86</v>
      </c>
      <c r="H19" s="13" t="s">
        <v>184</v>
      </c>
      <c r="I19" s="9" t="s">
        <v>74</v>
      </c>
    </row>
    <row r="20" customFormat="false" ht="15" hidden="false" customHeight="false" outlineLevel="0" collapsed="false">
      <c r="A20" s="7"/>
      <c r="B20" s="8" t="s">
        <v>204</v>
      </c>
      <c r="C20" s="7"/>
      <c r="D20" s="7"/>
      <c r="E20" s="7"/>
      <c r="F20" s="7"/>
      <c r="G20" s="7"/>
      <c r="H20" s="7"/>
      <c r="I20" s="7"/>
    </row>
    <row r="21" customFormat="false" ht="22.35" hidden="false" customHeight="false" outlineLevel="0" collapsed="false">
      <c r="A21" s="9" t="n">
        <v>14</v>
      </c>
      <c r="B21" s="4" t="s">
        <v>112</v>
      </c>
      <c r="C21" s="4" t="s">
        <v>113</v>
      </c>
      <c r="D21" s="10" t="n">
        <v>1</v>
      </c>
      <c r="E21" s="11" t="n">
        <v>65000</v>
      </c>
      <c r="F21" s="12" t="n">
        <f aca="false">D21*E21</f>
        <v>65000</v>
      </c>
      <c r="G21" s="4" t="s">
        <v>114</v>
      </c>
      <c r="H21" s="13" t="s">
        <v>115</v>
      </c>
      <c r="I21" s="9" t="s">
        <v>67</v>
      </c>
    </row>
    <row r="22" customFormat="false" ht="23.85" hidden="false" customHeight="false" outlineLevel="0" collapsed="false">
      <c r="A22" s="9" t="n">
        <v>15</v>
      </c>
      <c r="B22" s="4" t="s">
        <v>116</v>
      </c>
      <c r="C22" s="4" t="s">
        <v>117</v>
      </c>
      <c r="D22" s="10" t="n">
        <v>1</v>
      </c>
      <c r="E22" s="11" t="n">
        <v>32847</v>
      </c>
      <c r="F22" s="12" t="n">
        <f aca="false">D22*E22</f>
        <v>32847</v>
      </c>
      <c r="G22" s="4" t="s">
        <v>118</v>
      </c>
      <c r="H22" s="13" t="s">
        <v>119</v>
      </c>
      <c r="I22" s="9" t="s">
        <v>74</v>
      </c>
    </row>
    <row r="23" customFormat="false" ht="23.85" hidden="false" customHeight="false" outlineLevel="0" collapsed="false">
      <c r="A23" s="9" t="n">
        <v>16</v>
      </c>
      <c r="B23" s="4" t="s">
        <v>120</v>
      </c>
      <c r="C23" s="4" t="s">
        <v>121</v>
      </c>
      <c r="D23" s="10" t="n">
        <v>1</v>
      </c>
      <c r="E23" s="11" t="n">
        <v>90990</v>
      </c>
      <c r="F23" s="12" t="n">
        <f aca="false">D23*E23</f>
        <v>90990</v>
      </c>
      <c r="G23" s="4" t="s">
        <v>86</v>
      </c>
      <c r="H23" s="13" t="s">
        <v>122</v>
      </c>
      <c r="I23" s="9" t="s">
        <v>74</v>
      </c>
    </row>
    <row r="24" customFormat="false" ht="23.85" hidden="false" customHeight="false" outlineLevel="0" collapsed="false">
      <c r="A24" s="9" t="n">
        <v>17</v>
      </c>
      <c r="B24" s="4" t="s">
        <v>123</v>
      </c>
      <c r="C24" s="4" t="s">
        <v>124</v>
      </c>
      <c r="D24" s="10" t="n">
        <v>1</v>
      </c>
      <c r="E24" s="11" t="n">
        <v>97990</v>
      </c>
      <c r="F24" s="12" t="n">
        <f aca="false">D24*E24</f>
        <v>97990</v>
      </c>
      <c r="G24" s="4" t="s">
        <v>86</v>
      </c>
      <c r="H24" s="13" t="s">
        <v>125</v>
      </c>
      <c r="I24" s="9" t="s">
        <v>74</v>
      </c>
    </row>
    <row r="25" customFormat="false" ht="23.85" hidden="false" customHeight="false" outlineLevel="0" collapsed="false">
      <c r="A25" s="9" t="n">
        <v>18</v>
      </c>
      <c r="B25" s="4" t="s">
        <v>189</v>
      </c>
      <c r="C25" s="4" t="s">
        <v>183</v>
      </c>
      <c r="D25" s="10" t="n">
        <v>1</v>
      </c>
      <c r="E25" s="11" t="n">
        <v>69990</v>
      </c>
      <c r="F25" s="12" t="n">
        <f aca="false">D25*E25</f>
        <v>69990</v>
      </c>
      <c r="G25" s="4" t="s">
        <v>86</v>
      </c>
      <c r="H25" s="13" t="s">
        <v>184</v>
      </c>
      <c r="I25" s="9" t="s">
        <v>74</v>
      </c>
    </row>
    <row r="26" customFormat="false" ht="23.85" hidden="false" customHeight="false" outlineLevel="0" collapsed="false">
      <c r="A26" s="9" t="n">
        <v>19</v>
      </c>
      <c r="B26" s="4" t="s">
        <v>127</v>
      </c>
      <c r="C26" s="4" t="s">
        <v>128</v>
      </c>
      <c r="D26" s="10" t="n">
        <v>2</v>
      </c>
      <c r="E26" s="11" t="n">
        <v>60668</v>
      </c>
      <c r="F26" s="12" t="n">
        <f aca="false">D26*E26</f>
        <v>121336</v>
      </c>
      <c r="G26" s="4" t="s">
        <v>129</v>
      </c>
      <c r="H26" s="13" t="s">
        <v>130</v>
      </c>
      <c r="I26" s="9" t="s">
        <v>74</v>
      </c>
    </row>
    <row r="27" customFormat="false" ht="15" hidden="false" customHeight="false" outlineLevel="0" collapsed="false">
      <c r="A27" s="9" t="n">
        <v>20</v>
      </c>
      <c r="B27" s="4" t="s">
        <v>131</v>
      </c>
      <c r="C27" s="4" t="s">
        <v>132</v>
      </c>
      <c r="D27" s="10" t="n">
        <v>1</v>
      </c>
      <c r="E27" s="11" t="n">
        <v>8470</v>
      </c>
      <c r="F27" s="12" t="n">
        <f aca="false">D27*E27</f>
        <v>8470</v>
      </c>
      <c r="G27" s="4" t="s">
        <v>86</v>
      </c>
      <c r="H27" s="13" t="s">
        <v>133</v>
      </c>
      <c r="I27" s="9" t="s">
        <v>74</v>
      </c>
    </row>
    <row r="28" customFormat="false" ht="22.35" hidden="false" customHeight="false" outlineLevel="0" collapsed="false">
      <c r="A28" s="9" t="n">
        <v>21</v>
      </c>
      <c r="B28" s="4" t="s">
        <v>134</v>
      </c>
      <c r="C28" s="4" t="s">
        <v>135</v>
      </c>
      <c r="D28" s="10" t="n">
        <v>1</v>
      </c>
      <c r="E28" s="11" t="n">
        <v>11275</v>
      </c>
      <c r="F28" s="12" t="n">
        <f aca="false">D28*E28</f>
        <v>11275</v>
      </c>
      <c r="G28" s="4" t="s">
        <v>118</v>
      </c>
      <c r="H28" s="13" t="s">
        <v>136</v>
      </c>
      <c r="I28" s="9" t="s">
        <v>74</v>
      </c>
    </row>
    <row r="29" customFormat="false" ht="15" hidden="false" customHeight="false" outlineLevel="0" collapsed="false">
      <c r="A29" s="9" t="n">
        <v>22</v>
      </c>
      <c r="B29" s="4" t="s">
        <v>137</v>
      </c>
      <c r="C29" s="4" t="s">
        <v>138</v>
      </c>
      <c r="D29" s="10" t="n">
        <v>1</v>
      </c>
      <c r="E29" s="11" t="n">
        <v>6000</v>
      </c>
      <c r="F29" s="12" t="n">
        <f aca="false">D29*E29</f>
        <v>6000</v>
      </c>
      <c r="G29" s="4" t="s">
        <v>114</v>
      </c>
      <c r="H29" s="13" t="s">
        <v>139</v>
      </c>
      <c r="I29" s="9" t="s">
        <v>83</v>
      </c>
    </row>
    <row r="30" customFormat="false" ht="23.85" hidden="false" customHeight="false" outlineLevel="0" collapsed="false">
      <c r="A30" s="9" t="n">
        <v>23</v>
      </c>
      <c r="B30" s="4" t="s">
        <v>205</v>
      </c>
      <c r="C30" s="4" t="s">
        <v>206</v>
      </c>
      <c r="D30" s="10" t="n">
        <v>1</v>
      </c>
      <c r="E30" s="11" t="n">
        <v>90385</v>
      </c>
      <c r="F30" s="12" t="n">
        <f aca="false">D30*E30</f>
        <v>90385</v>
      </c>
      <c r="G30" s="4" t="s">
        <v>207</v>
      </c>
      <c r="H30" s="13" t="s">
        <v>208</v>
      </c>
      <c r="I30" s="9" t="s">
        <v>74</v>
      </c>
    </row>
    <row r="31" customFormat="false" ht="23.85" hidden="false" customHeight="false" outlineLevel="0" collapsed="false">
      <c r="A31" s="9" t="n">
        <v>24</v>
      </c>
      <c r="B31" s="4" t="s">
        <v>209</v>
      </c>
      <c r="C31" s="4" t="s">
        <v>210</v>
      </c>
      <c r="D31" s="10" t="n">
        <v>1</v>
      </c>
      <c r="E31" s="11" t="n">
        <v>87884</v>
      </c>
      <c r="F31" s="12" t="n">
        <f aca="false">D31*E31</f>
        <v>87884</v>
      </c>
      <c r="G31" s="4" t="s">
        <v>207</v>
      </c>
      <c r="H31" s="13" t="s">
        <v>211</v>
      </c>
      <c r="I31" s="9" t="s">
        <v>74</v>
      </c>
    </row>
    <row r="32" customFormat="false" ht="22.35" hidden="false" customHeight="false" outlineLevel="0" collapsed="false">
      <c r="A32" s="9" t="n">
        <v>25</v>
      </c>
      <c r="B32" s="4" t="s">
        <v>212</v>
      </c>
      <c r="C32" s="4" t="s">
        <v>213</v>
      </c>
      <c r="D32" s="10" t="n">
        <v>2</v>
      </c>
      <c r="E32" s="11" t="n">
        <v>60668</v>
      </c>
      <c r="F32" s="12" t="n">
        <f aca="false">D32*E32</f>
        <v>121336</v>
      </c>
      <c r="G32" s="4" t="s">
        <v>129</v>
      </c>
      <c r="H32" s="13" t="s">
        <v>214</v>
      </c>
      <c r="I32" s="9" t="s">
        <v>74</v>
      </c>
    </row>
    <row r="33" customFormat="false" ht="23.85" hidden="false" customHeight="false" outlineLevel="0" collapsed="false">
      <c r="A33" s="9" t="n">
        <v>26</v>
      </c>
      <c r="B33" s="4" t="s">
        <v>192</v>
      </c>
      <c r="C33" s="4" t="s">
        <v>193</v>
      </c>
      <c r="D33" s="10" t="n">
        <v>1</v>
      </c>
      <c r="E33" s="11" t="n">
        <v>17090</v>
      </c>
      <c r="F33" s="12" t="n">
        <f aca="false">D33*E33</f>
        <v>17090</v>
      </c>
      <c r="G33" s="4" t="s">
        <v>194</v>
      </c>
      <c r="H33" s="13" t="s">
        <v>195</v>
      </c>
      <c r="I33" s="9" t="s">
        <v>74</v>
      </c>
    </row>
    <row r="34" customFormat="false" ht="15" hidden="false" customHeight="false" outlineLevel="0" collapsed="false">
      <c r="A34" s="9" t="n">
        <v>27</v>
      </c>
      <c r="B34" s="4" t="s">
        <v>196</v>
      </c>
      <c r="C34" s="4" t="s">
        <v>85</v>
      </c>
      <c r="D34" s="10" t="n">
        <v>1</v>
      </c>
      <c r="E34" s="11" t="n">
        <v>2575</v>
      </c>
      <c r="F34" s="12" t="n">
        <f aca="false">D34*E34</f>
        <v>2575</v>
      </c>
      <c r="G34" s="4" t="s">
        <v>86</v>
      </c>
      <c r="H34" s="13" t="s">
        <v>87</v>
      </c>
      <c r="I34" s="9" t="s">
        <v>74</v>
      </c>
    </row>
    <row r="35" customFormat="false" ht="15" hidden="false" customHeight="false" outlineLevel="0" collapsed="false">
      <c r="A35" s="9" t="n">
        <v>28</v>
      </c>
      <c r="B35" s="4" t="s">
        <v>215</v>
      </c>
      <c r="C35" s="4" t="s">
        <v>216</v>
      </c>
      <c r="D35" s="10" t="n">
        <v>1</v>
      </c>
      <c r="E35" s="11" t="n">
        <v>20000</v>
      </c>
      <c r="F35" s="12" t="n">
        <f aca="false">D35*E35</f>
        <v>20000</v>
      </c>
      <c r="G35" s="4" t="s">
        <v>114</v>
      </c>
      <c r="H35" s="13" t="s">
        <v>217</v>
      </c>
      <c r="I35" s="9" t="s">
        <v>83</v>
      </c>
    </row>
    <row r="36" customFormat="false" ht="23.85" hidden="false" customHeight="false" outlineLevel="0" collapsed="false">
      <c r="A36" s="9" t="n">
        <v>29</v>
      </c>
      <c r="B36" s="4" t="s">
        <v>218</v>
      </c>
      <c r="C36" s="4" t="s">
        <v>219</v>
      </c>
      <c r="D36" s="10" t="n">
        <v>1</v>
      </c>
      <c r="E36" s="11" t="n">
        <v>30000</v>
      </c>
      <c r="F36" s="12" t="n">
        <f aca="false">D36*E36</f>
        <v>30000</v>
      </c>
      <c r="G36" s="4" t="s">
        <v>93</v>
      </c>
      <c r="H36" s="13" t="s">
        <v>220</v>
      </c>
      <c r="I36" s="9" t="s">
        <v>67</v>
      </c>
    </row>
    <row r="37" customFormat="false" ht="15" hidden="false" customHeight="false" outlineLevel="0" collapsed="false">
      <c r="A37" s="7"/>
      <c r="B37" s="8" t="s">
        <v>221</v>
      </c>
      <c r="C37" s="7"/>
      <c r="D37" s="7"/>
      <c r="E37" s="7"/>
      <c r="F37" s="7"/>
      <c r="G37" s="7"/>
      <c r="H37" s="7"/>
      <c r="I37" s="7"/>
    </row>
    <row r="38" customFormat="false" ht="23.85" hidden="false" customHeight="false" outlineLevel="0" collapsed="false">
      <c r="A38" s="9" t="n">
        <v>30</v>
      </c>
      <c r="B38" s="4" t="s">
        <v>222</v>
      </c>
      <c r="C38" s="4" t="s">
        <v>223</v>
      </c>
      <c r="D38" s="10" t="n">
        <v>1</v>
      </c>
      <c r="E38" s="11" t="n">
        <v>86000</v>
      </c>
      <c r="F38" s="12" t="n">
        <f aca="false">D38*E38</f>
        <v>86000</v>
      </c>
      <c r="G38" s="4" t="s">
        <v>77</v>
      </c>
      <c r="H38" s="13" t="s">
        <v>78</v>
      </c>
      <c r="I38" s="9" t="s">
        <v>74</v>
      </c>
    </row>
    <row r="39" customFormat="false" ht="23.85" hidden="false" customHeight="false" outlineLevel="0" collapsed="false">
      <c r="A39" s="9" t="n">
        <v>31</v>
      </c>
      <c r="B39" s="4" t="s">
        <v>140</v>
      </c>
      <c r="C39" s="4" t="s">
        <v>141</v>
      </c>
      <c r="D39" s="10" t="n">
        <v>2</v>
      </c>
      <c r="E39" s="11" t="n">
        <v>24990</v>
      </c>
      <c r="F39" s="12" t="n">
        <f aca="false">D39*E39</f>
        <v>49980</v>
      </c>
      <c r="G39" s="4" t="s">
        <v>142</v>
      </c>
      <c r="H39" s="13" t="s">
        <v>143</v>
      </c>
      <c r="I39" s="9" t="s">
        <v>74</v>
      </c>
    </row>
    <row r="40" customFormat="false" ht="23.85" hidden="false" customHeight="false" outlineLevel="0" collapsed="false">
      <c r="A40" s="9" t="n">
        <v>32</v>
      </c>
      <c r="B40" s="4" t="s">
        <v>144</v>
      </c>
      <c r="C40" s="4" t="s">
        <v>145</v>
      </c>
      <c r="D40" s="10" t="n">
        <v>1</v>
      </c>
      <c r="E40" s="11" t="n">
        <v>16690</v>
      </c>
      <c r="F40" s="12" t="n">
        <f aca="false">D40*E40</f>
        <v>16690</v>
      </c>
      <c r="G40" s="4" t="s">
        <v>146</v>
      </c>
      <c r="H40" s="13" t="s">
        <v>147</v>
      </c>
      <c r="I40" s="9" t="s">
        <v>74</v>
      </c>
    </row>
    <row r="41" customFormat="false" ht="15" hidden="false" customHeight="false" outlineLevel="0" collapsed="false">
      <c r="A41" s="9" t="n">
        <v>33</v>
      </c>
      <c r="B41" s="4" t="s">
        <v>190</v>
      </c>
      <c r="C41" s="4" t="s">
        <v>191</v>
      </c>
      <c r="D41" s="10" t="n">
        <v>1</v>
      </c>
      <c r="E41" s="11" t="n">
        <v>15000</v>
      </c>
      <c r="F41" s="12" t="n">
        <f aca="false">D41*E41</f>
        <v>15000</v>
      </c>
      <c r="G41" s="4" t="s">
        <v>114</v>
      </c>
      <c r="H41" s="13" t="s">
        <v>139</v>
      </c>
      <c r="I41" s="9" t="s">
        <v>83</v>
      </c>
    </row>
    <row r="42" customFormat="false" ht="15" hidden="false" customHeight="false" outlineLevel="0" collapsed="false">
      <c r="A42" s="7"/>
      <c r="B42" s="8" t="s">
        <v>150</v>
      </c>
      <c r="C42" s="7"/>
      <c r="D42" s="7"/>
      <c r="E42" s="7"/>
      <c r="F42" s="7"/>
      <c r="G42" s="7"/>
      <c r="H42" s="7"/>
      <c r="I42" s="7"/>
    </row>
    <row r="43" customFormat="false" ht="23.85" hidden="false" customHeight="false" outlineLevel="0" collapsed="false">
      <c r="A43" s="9" t="n">
        <v>34</v>
      </c>
      <c r="B43" s="4" t="s">
        <v>151</v>
      </c>
      <c r="C43" s="4" t="s">
        <v>152</v>
      </c>
      <c r="D43" s="10" t="n">
        <v>1</v>
      </c>
      <c r="E43" s="11" t="n">
        <v>10000</v>
      </c>
      <c r="F43" s="12" t="n">
        <f aca="false">D43*E43</f>
        <v>10000</v>
      </c>
      <c r="G43" s="4" t="s">
        <v>153</v>
      </c>
      <c r="H43" s="13" t="s">
        <v>154</v>
      </c>
      <c r="I43" s="9" t="s">
        <v>83</v>
      </c>
    </row>
    <row r="44" customFormat="false" ht="23.85" hidden="false" customHeight="false" outlineLevel="0" collapsed="false">
      <c r="A44" s="9" t="n">
        <v>35</v>
      </c>
      <c r="B44" s="4" t="s">
        <v>155</v>
      </c>
      <c r="C44" s="4" t="s">
        <v>156</v>
      </c>
      <c r="D44" s="10" t="n">
        <v>1</v>
      </c>
      <c r="E44" s="11" t="n">
        <v>58000</v>
      </c>
      <c r="F44" s="12" t="n">
        <f aca="false">D44*E44</f>
        <v>58000</v>
      </c>
      <c r="G44" s="4" t="s">
        <v>157</v>
      </c>
      <c r="H44" s="13" t="s">
        <v>158</v>
      </c>
      <c r="I44" s="9" t="s">
        <v>74</v>
      </c>
    </row>
    <row r="45" customFormat="false" ht="23.85" hidden="false" customHeight="false" outlineLevel="0" collapsed="false">
      <c r="A45" s="9" t="n">
        <v>36</v>
      </c>
      <c r="B45" s="4" t="s">
        <v>224</v>
      </c>
      <c r="C45" s="4" t="s">
        <v>225</v>
      </c>
      <c r="D45" s="10" t="n">
        <v>1</v>
      </c>
      <c r="E45" s="11" t="n">
        <v>48300</v>
      </c>
      <c r="F45" s="12" t="n">
        <f aca="false">D45*E45</f>
        <v>48300</v>
      </c>
      <c r="G45" s="4" t="s">
        <v>226</v>
      </c>
      <c r="H45" s="13" t="s">
        <v>227</v>
      </c>
      <c r="I45" s="9" t="s">
        <v>74</v>
      </c>
    </row>
    <row r="46" customFormat="false" ht="15" hidden="false" customHeight="false" outlineLevel="0" collapsed="false">
      <c r="A46" s="9" t="n">
        <v>37</v>
      </c>
      <c r="B46" s="4" t="s">
        <v>161</v>
      </c>
      <c r="C46" s="4" t="s">
        <v>162</v>
      </c>
      <c r="D46" s="10" t="n">
        <v>1</v>
      </c>
      <c r="E46" s="11" t="n">
        <v>3000</v>
      </c>
      <c r="F46" s="12" t="n">
        <f aca="false">D46*E46</f>
        <v>3000</v>
      </c>
      <c r="G46" s="4" t="s">
        <v>163</v>
      </c>
      <c r="H46" s="13" t="s">
        <v>139</v>
      </c>
      <c r="I46" s="9" t="s">
        <v>83</v>
      </c>
    </row>
    <row r="47" customFormat="false" ht="23.85" hidden="false" customHeight="false" outlineLevel="0" collapsed="false">
      <c r="A47" s="9" t="n">
        <v>38</v>
      </c>
      <c r="B47" s="4" t="s">
        <v>164</v>
      </c>
      <c r="C47" s="4" t="s">
        <v>165</v>
      </c>
      <c r="D47" s="10" t="n">
        <v>1</v>
      </c>
      <c r="E47" s="11" t="n">
        <v>8000</v>
      </c>
      <c r="F47" s="12" t="n">
        <f aca="false">D47*E47</f>
        <v>8000</v>
      </c>
      <c r="G47" s="4" t="s">
        <v>163</v>
      </c>
      <c r="H47" s="13" t="s">
        <v>139</v>
      </c>
      <c r="I47" s="9" t="s">
        <v>83</v>
      </c>
    </row>
    <row r="48" customFormat="false" ht="15" hidden="false" customHeight="false" outlineLevel="0" collapsed="false">
      <c r="A48" s="9" t="n">
        <v>39</v>
      </c>
      <c r="B48" s="4" t="s">
        <v>166</v>
      </c>
      <c r="C48" s="4" t="s">
        <v>167</v>
      </c>
      <c r="D48" s="10" t="n">
        <v>1</v>
      </c>
      <c r="E48" s="11" t="n">
        <v>19000</v>
      </c>
      <c r="F48" s="12" t="n">
        <f aca="false">D48*E48</f>
        <v>19000</v>
      </c>
      <c r="G48" s="4" t="s">
        <v>114</v>
      </c>
      <c r="H48" s="13" t="s">
        <v>168</v>
      </c>
      <c r="I48" s="9" t="s">
        <v>83</v>
      </c>
    </row>
    <row r="49" customFormat="false" ht="15" hidden="false" customHeight="false" outlineLevel="0" collapsed="false">
      <c r="A49" s="14"/>
      <c r="B49" s="15" t="s">
        <v>169</v>
      </c>
      <c r="C49" s="14"/>
      <c r="D49" s="14"/>
      <c r="E49" s="14"/>
      <c r="F49" s="16" t="n">
        <f aca="false">F6+F7+F8+F9+F10+F11+F12+F13+F14+F15+F17+F18+F19+F21+F22+F23+F24+F25+F26+F27+F28+F29+F30+F31+F32+F33+F34+F35+F36+F38+F39+F40+F41+F43+F44+F45+F46+F47+F48</f>
        <v>2719742</v>
      </c>
      <c r="G49" s="14"/>
      <c r="H49" s="14"/>
      <c r="I49" s="14"/>
    </row>
    <row r="50" customFormat="false" ht="15" hidden="false" customHeight="false" outlineLevel="0" collapsed="false">
      <c r="A50" s="17"/>
      <c r="B50" s="18" t="s">
        <v>170</v>
      </c>
      <c r="C50" s="17"/>
      <c r="D50" s="17"/>
      <c r="E50" s="17"/>
      <c r="F50" s="19" t="n">
        <f aca="false">SUMIF($I$6:$I$48,"Листинг",$F$6:$F$48)</f>
        <v>1173742</v>
      </c>
      <c r="G50" s="17"/>
      <c r="H50" s="17"/>
      <c r="I50" s="17"/>
    </row>
    <row r="51" customFormat="false" ht="15" hidden="false" customHeight="false" outlineLevel="0" collapsed="false">
      <c r="A51" s="17"/>
      <c r="B51" s="18" t="s">
        <v>171</v>
      </c>
      <c r="C51" s="17"/>
      <c r="D51" s="17"/>
      <c r="E51" s="17"/>
      <c r="F51" s="19" t="n">
        <f aca="false">SUMIF($I$6:$I$48,"По счёту",$F$6:$F$48)</f>
        <v>1300000</v>
      </c>
      <c r="G51" s="17"/>
      <c r="H51" s="17"/>
      <c r="I51" s="17"/>
    </row>
    <row r="52" customFormat="false" ht="15" hidden="false" customHeight="false" outlineLevel="0" collapsed="false">
      <c r="A52" s="17"/>
      <c r="B52" s="18" t="s">
        <v>172</v>
      </c>
      <c r="C52" s="17"/>
      <c r="D52" s="17"/>
      <c r="E52" s="17"/>
      <c r="F52" s="19" t="n">
        <f aca="false">SUMIF($I$6:$I$48,"Оценка",$F$6:$F$48)</f>
        <v>246000</v>
      </c>
      <c r="G52" s="17"/>
      <c r="H52" s="17"/>
      <c r="I52" s="17"/>
    </row>
    <row r="53" customFormat="false" ht="15" hidden="false" customHeight="false" outlineLevel="0" collapsed="false">
      <c r="A53" s="17"/>
      <c r="B53" s="20" t="s">
        <v>173</v>
      </c>
      <c r="C53" s="17"/>
      <c r="D53" s="17"/>
      <c r="E53" s="17"/>
      <c r="F53" s="21" t="n">
        <f aca="false">ROUND(F49*0.1,-3)</f>
        <v>272000</v>
      </c>
      <c r="G53" s="17"/>
      <c r="H53" s="17"/>
      <c r="I53" s="17"/>
    </row>
    <row r="54" customFormat="false" ht="15" hidden="false" customHeight="false" outlineLevel="0" collapsed="false">
      <c r="A54" s="14"/>
      <c r="B54" s="15" t="s">
        <v>174</v>
      </c>
      <c r="C54" s="14"/>
      <c r="D54" s="14"/>
      <c r="E54" s="14"/>
      <c r="F54" s="16" t="n">
        <f aca="false">F49+F53</f>
        <v>2991742</v>
      </c>
      <c r="G54" s="14"/>
      <c r="H54" s="14"/>
      <c r="I54" s="14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2026-07-30T20:21:21Z</dcterms:created>
  <dc:creator>openpyxl</dc:creator>
  <dc:description/>
  <dc:language>en-US</dc:language>
  <cp:lastModifiedBy/>
  <dcterms:modified xsi:type="dcterms:W3CDTF">2026-07-30T20:21:21Z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