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1_Сервер" sheetId="2" state="visible" r:id="rId4"/>
    <sheet name="2_АРМ" sheetId="3" state="visible" r:id="rId5"/>
    <sheet name="3_Борт_А" sheetId="4" state="visible" r:id="rId6"/>
    <sheet name="4_Борт_Б" sheetId="5" state="visible" r:id="rId7"/>
    <sheet name="5_Геолокация" sheetId="6" state="visible" r:id="rId8"/>
    <sheet name="6_Депо_СХД" sheetId="7" state="visible" r:id="rId9"/>
    <sheet name="7_Калибровка" sheetId="8" state="visible" r:id="rId10"/>
    <sheet name="8_Опции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<sst xmlns="http://schemas.openxmlformats.org/spreadsheetml/2006/main" count="443" uniqueCount="304">
  <si>
    <t xml:space="preserve">Спецификация оборудования: система автоматического учёта дорожных дефектов</t>
  </si>
  <si>
    <t xml:space="preserve">Цены ориентировочные: розница РФ, июль 2026, с НДС. Синим — редактируемые значения (цены, количества), чёрным — формулы, зелёным — ссылки на листы разделов, жёлтая заливка — ключевой параметр. Перед закупкой актуализировать цены по счетам поставщиков (память, накопители и GPU волатильны).</t>
  </si>
  <si>
    <t xml:space="preserve">ПАРАМЕТРЫ</t>
  </si>
  <si>
    <t xml:space="preserve">Количество бортовых комплектов (машин)</t>
  </si>
  <si>
    <t xml:space="preserve">Меняйте здесь — разделы 3, 4, 5, 7 пересчитаются автоматически</t>
  </si>
  <si>
    <t xml:space="preserve">CAPEX — ОСНОВНОЙ ВАРИАНТ (А: промышленные камеры)</t>
  </si>
  <si>
    <t xml:space="preserve">1. Сервер обработки (покупка)</t>
  </si>
  <si>
    <t xml:space="preserve">Раздел 1; альтернатива-аренда — внизу листа раздела</t>
  </si>
  <si>
    <t xml:space="preserve">2. АРМ оператора</t>
  </si>
  <si>
    <t xml:space="preserve">Раздел 2</t>
  </si>
  <si>
    <t xml:space="preserve">3. Бортовые комплексы — вариант А (промкамеры)</t>
  </si>
  <si>
    <t xml:space="preserve">Раздел 3; кол-во машин — параметр B5</t>
  </si>
  <si>
    <t xml:space="preserve">4. Геолокация (борт + базовая станция RTK)</t>
  </si>
  <si>
    <t xml:space="preserve">Раздел 5</t>
  </si>
  <si>
    <t xml:space="preserve">5. Депо: сеть выгрузки и хранение</t>
  </si>
  <si>
    <t xml:space="preserve">Раздел 6</t>
  </si>
  <si>
    <t xml:space="preserve">6. Калибровка и контрольные замеры (GT)</t>
  </si>
  <si>
    <t xml:space="preserve">Раздел 7</t>
  </si>
  <si>
    <t xml:space="preserve">ИТОГО, вариант А</t>
  </si>
  <si>
    <t xml:space="preserve">Резерв на непредвиденные расходы, 10%</t>
  </si>
  <si>
    <t xml:space="preserve">Курсовые колебания, доставка, мелочёвка монтажа</t>
  </si>
  <si>
    <t xml:space="preserve">ВСЕГО с резервом, вариант А</t>
  </si>
  <si>
    <t xml:space="preserve">СПРАВОЧНО — ВАРИАНТ Б (видеорегистраторы вместо промкамер)</t>
  </si>
  <si>
    <t xml:space="preserve">Бортовые комплексы — вариант Б</t>
  </si>
  <si>
    <t xml:space="preserve">Только пилот/скрининг: без global shutter и метрологии — измерения глубины не обеспечивает</t>
  </si>
  <si>
    <t xml:space="preserve">ИТОГО, вариант Б (замена раздела 3 на регистраторы)</t>
  </si>
  <si>
    <t xml:space="preserve">Экономия видна, но вариант закрывает только детекцию</t>
  </si>
  <si>
    <t xml:space="preserve">ВСЕГО с резервом 10%, вариант Б</t>
  </si>
  <si>
    <t xml:space="preserve">OPEX, В ГОД</t>
  </si>
  <si>
    <t xml:space="preserve">RTK-поправки NTRIP (EFT-CORS, на парк)</t>
  </si>
  <si>
    <t xml:space="preserve">Обнуляется при собственной базовой станции (заложена в разделе 5)</t>
  </si>
  <si>
    <t xml:space="preserve">Связь LTE (3 SIM, опция)</t>
  </si>
  <si>
    <t xml:space="preserve">Ежегодные поверки (рейки, дальномер)</t>
  </si>
  <si>
    <t xml:space="preserve">ИТОГО OPEX/год</t>
  </si>
  <si>
    <t xml:space="preserve">Без электроэнергии/интернета площадки и без аренды сервера</t>
  </si>
  <si>
    <t xml:space="preserve">Аренда GPU-сервера вместо покупки (справочно)</t>
  </si>
  <si>
    <t xml:space="preserve">50–150 тыс. ₽/мес</t>
  </si>
  <si>
    <t xml:space="preserve">Разумно на период пилота: immers.cloud/selectel; детали — лист «1_Сервер»</t>
  </si>
  <si>
    <t xml:space="preserve">Раздел 1. Сервер обработки (покупка, on-prem)</t>
  </si>
  <si>
    <t xml:space="preserve">Один узел на организацию. Обработка near-real-time: скрининг YOLO по всем кадрам → гео-группировка сцен → полный пайплайн → реестр дефектов (PostGIS) → уведомления. Аренда — см. блок внизу листа.</t>
  </si>
  <si>
    <t xml:space="preserve">№</t>
  </si>
  <si>
    <t xml:space="preserve">Наименование</t>
  </si>
  <si>
    <t xml:space="preserve">Назначение в системе / обоснование</t>
  </si>
  <si>
    <t xml:space="preserve">Модель-пример</t>
  </si>
  <si>
    <t xml:space="preserve">Ед.</t>
  </si>
  <si>
    <t xml:space="preserve">Кол-во</t>
  </si>
  <si>
    <t xml:space="preserve">Цена за ед., ₽</t>
  </si>
  <si>
    <t xml:space="preserve">Сумма, ₽</t>
  </si>
  <si>
    <t xml:space="preserve">Ориентир цены (июль 2026)</t>
  </si>
  <si>
    <t xml:space="preserve">Примечание</t>
  </si>
  <si>
    <t xml:space="preserve">Серверная платформа 2U/4U под 2×GPU</t>
  </si>
  <si>
    <t xml:space="preserve">Единый узел обработки: приём кадров, скрининг-детекция, полный пайплайн, БД, веб-интерфейс. Резерв слота под второй GPU. 2 БП ≥2 кВт, IPMI</t>
  </si>
  <si>
    <t xml:space="preserve">Supermicro (новый барбон) / РФ-сборка OpenYard, Aquarius</t>
  </si>
  <si>
    <t xml:space="preserve">шт</t>
  </si>
  <si>
    <t xml:space="preserve">оценка 800 тыс.–1,2 млн (новые «по запросу»; б/у 2U от 350 тыс., ittelo.ru)</t>
  </si>
  <si>
    <t xml:space="preserve">Параллельный импорт либо РФ-вендор; уточнить конфигурацию у 2–3 поставщиков</t>
  </si>
  <si>
    <t xml:space="preserve">Процессор AMD EPYC 9354 (32 ядра SP5)</t>
  </si>
  <si>
    <t xml:space="preserve">COLMAP/OpenMVS и сегментация — CPU-ёмкие этапы конвейера; 32 ядра держат парк из 3 машин</t>
  </si>
  <si>
    <t xml:space="preserve">AMD EPYC 9354 OEM</t>
  </si>
  <si>
    <t xml:space="preserve">serverflow.ru — 222 700 (в наличии)</t>
  </si>
  <si>
    <t xml:space="preserve">Разброс каналов 128–225 тыс.</t>
  </si>
  <si>
    <t xml:space="preserve">ОЗУ DDR5 ECC RDIMM 256 ГБ (8×32)</t>
  </si>
  <si>
    <t xml:space="preserve">Очереди кадров 4K, PostGIS, дообучение YOLO, фотограмметрия</t>
  </si>
  <si>
    <t xml:space="preserve">SK Hynix 32GB DDR5-4800 RDIMM ×8</t>
  </si>
  <si>
    <t xml:space="preserve">компл</t>
  </si>
  <si>
    <t xml:space="preserve">serverflow.ru — 56–75 тыс./модуль</t>
  </si>
  <si>
    <t xml:space="preserve">Цены DRAM 2026 аномально высоки (дефицит из-за ИИ) — перепроверить перед закупкой</t>
  </si>
  <si>
    <t xml:space="preserve">GPU NVIDIA RTX 6000 Ada 48 ГБ</t>
  </si>
  <si>
    <t xml:space="preserve">Скрининг тысяч кадров/смену, дообучение детектора, ускорение фотограмметрии. Серверное исполнение (blower, ECC)</t>
  </si>
  <si>
    <t xml:space="preserve">NVIDIA RTX 6000 Ada Generation 48GB</t>
  </si>
  <si>
    <t xml:space="preserve">servermall.ru — 838 656; L40S — 763 900 (t-bazar.ru)</t>
  </si>
  <si>
    <t xml:space="preserve">Альтернатива: 2×RTX 5090 32 ГБ (~425 тыс./шт, regard.ru) — дешевле за FLOPS, но потребительское исполнение</t>
  </si>
  <si>
    <t xml:space="preserve">СХД «горячая»: NVMe U.2 3,84 ТБ, RAID1</t>
  </si>
  <si>
    <t xml:space="preserve">БД PostGIS + горячие данные конвейера (кадры в обработке)</t>
  </si>
  <si>
    <t xml:space="preserve">Samsung PM9A3 3.84TB U.2 ×2</t>
  </si>
  <si>
    <t xml:space="preserve">serverflow.ru — 189–220 тыс./шт</t>
  </si>
  <si>
    <t xml:space="preserve">Enterprise-класс с защитой по питанию</t>
  </si>
  <si>
    <t xml:space="preserve">СХД архивная: HDD 24 ТБ, RAID6</t>
  </si>
  <si>
    <t xml:space="preserve">Архив исходных кадров и оверлеев (~10–15 ГБ/смена с машины)</t>
  </si>
  <si>
    <t xml:space="preserve">Seagate Exos X24 24TB ×4</t>
  </si>
  <si>
    <t xml:space="preserve">nix.ru — 120 223 (офиц.); маркетплейсы 65–80 тыс. (риск канала)</t>
  </si>
  <si>
    <t xml:space="preserve">≈44 ТБ полезной ёмкости в RAID6; расширяется до 8 дисков</t>
  </si>
  <si>
    <t xml:space="preserve">HBA/RAID-контроллер + кабели</t>
  </si>
  <si>
    <t xml:space="preserve">Подключение U.2/SATA-корзин</t>
  </si>
  <si>
    <t xml:space="preserve">Broadcom 9500-8i</t>
  </si>
  <si>
    <t xml:space="preserve">оценка</t>
  </si>
  <si>
    <t xml:space="preserve">Сетевой адаптер 10GbE SFP+</t>
  </si>
  <si>
    <t xml:space="preserve">Быстрый приём выгрузки из депо и связь с NAS</t>
  </si>
  <si>
    <t xml:space="preserve">Intel X710-DA2</t>
  </si>
  <si>
    <t xml:space="preserve">Если нет на плате платформы</t>
  </si>
  <si>
    <t xml:space="preserve">ИБП online 3 кВА, стоечный</t>
  </si>
  <si>
    <t xml:space="preserve">Двойное преобразование; защита БД от сбоев питания</t>
  </si>
  <si>
    <t xml:space="preserve">Ippon Innova RT 33 3000 / Powercom VGD</t>
  </si>
  <si>
    <t xml:space="preserve">оценка 70–130 тыс. (башенный PowerMan Online 3000 — 36 261, nix.ru)</t>
  </si>
  <si>
    <t xml:space="preserve">Серверный шкаф 22U + PDU</t>
  </si>
  <si>
    <t xml:space="preserve">Размещение сервера, ИБП, коммутатора, NAS</t>
  </si>
  <si>
    <t xml:space="preserve">ЦМО/SYSMATRIX/W&amp;T 22U 600×800 + PDU 8×C13</t>
  </si>
  <si>
    <t xml:space="preserve">оценка (шкаф 25–60 тыс., vseinstrumenti.ru; PDU 8–25 тыс.)</t>
  </si>
  <si>
    <t xml:space="preserve">Коммутатор 10GbE</t>
  </si>
  <si>
    <t xml:space="preserve">Ядро сети: сервер ↔ NAS ↔ депо-сеть</t>
  </si>
  <si>
    <t xml:space="preserve">MikroTik CRS309-1G-8S+IN</t>
  </si>
  <si>
    <t xml:space="preserve">оценка 35–45 тыс. (MSRP $269 + наценка)</t>
  </si>
  <si>
    <t xml:space="preserve">Монтаж, пусконаладка, ОС и окружение</t>
  </si>
  <si>
    <t xml:space="preserve">Сборка, ОС Linux, PostgreSQL+PostGIS, очереди, развёртывание движка</t>
  </si>
  <si>
    <t xml:space="preserve">работы</t>
  </si>
  <si>
    <t xml:space="preserve">усл</t>
  </si>
  <si>
    <t xml:space="preserve">Если делаете сами — исключить строку</t>
  </si>
  <si>
    <t xml:space="preserve">ИТОГО по разделу</t>
  </si>
  <si>
    <t xml:space="preserve">СПРАВОЧНО: аренда GPU-сервера вместо покупки (OPEX)</t>
  </si>
  <si>
    <t xml:space="preserve">Аренда: сервер с 1×RTX 4090/5090</t>
  </si>
  <si>
    <t xml:space="preserve">Достаточно для пилота и старта эксплуатации</t>
  </si>
  <si>
    <t xml:space="preserve">immers.cloud / selectel.ru</t>
  </si>
  <si>
    <t xml:space="preserve">мес</t>
  </si>
  <si>
    <t xml:space="preserve">immers.cloud — от ~40–60 тыс. ₽/мес (при предоплате)</t>
  </si>
  <si>
    <t xml:space="preserve">Аренда: сервер с L40S/A100</t>
  </si>
  <si>
    <t xml:space="preserve">Запас под тираж и постоянное дообучение</t>
  </si>
  <si>
    <t xml:space="preserve">selectel.ru</t>
  </si>
  <si>
    <t xml:space="preserve">оценка 100–200 тыс. ₽/мес</t>
  </si>
  <si>
    <t xml:space="preserve">Раздел 2. Автоматизированное рабочее место оператора</t>
  </si>
  <si>
    <t xml:space="preserve">Оператор принимает результаты конвейера, ведёт реестр, размечает eval-набор для замера качества детекции (docs/EVAL.md).</t>
  </si>
  <si>
    <t xml:space="preserve">Рабочая станция оператора</t>
  </si>
  <si>
    <t xml:space="preserve">Веб-дашборд, контроль качества, разметка датасетов (X-AnyLabeling), локальный инференс и прогон моделей</t>
  </si>
  <si>
    <t xml:space="preserve">Ryzen 9 9950X / 64 ГБ DDR5 / RTX 5080 16 ГБ / NVMe 2 ТБ + 4 ТБ</t>
  </si>
  <si>
    <t xml:space="preserve">digital-razor.ru — 400–471 тыс.; самосбор ~380–430 тыс.</t>
  </si>
  <si>
    <t xml:space="preserve">С RTX 5070 Ti — экономия ~50 тыс. без потери для разметки</t>
  </si>
  <si>
    <t xml:space="preserve">Монитор 27" 4K IPS</t>
  </si>
  <si>
    <t xml:space="preserve">Разметка мелких дефектов (трещины 1–2 px) требует 4K; второй экран — карта/реестр</t>
  </si>
  <si>
    <t xml:space="preserve">Dell P2723QE / LG 27UP650</t>
  </si>
  <si>
    <t xml:space="preserve">оценка 35–60 тыс. (lg.com/ru, DNS)</t>
  </si>
  <si>
    <t xml:space="preserve">ИБП 1500 ВА, чистый синус</t>
  </si>
  <si>
    <t xml:space="preserve">Защита АРМ</t>
  </si>
  <si>
    <t xml:space="preserve">Ippon Smart Winner II 1550</t>
  </si>
  <si>
    <t xml:space="preserve">оценка (Back Basic 1500 — 16 690, nix.ru)</t>
  </si>
  <si>
    <t xml:space="preserve">Периферия</t>
  </si>
  <si>
    <t xml:space="preserve">Клавиатура, мышь, гарнитура, веб-камера</t>
  </si>
  <si>
    <t xml:space="preserve">Logitech MX Keys S + MX Master 3S + гарнитура</t>
  </si>
  <si>
    <t xml:space="preserve">оценка 40–55 тыс.</t>
  </si>
  <si>
    <t xml:space="preserve">Бюджетный комплект ~15–20 тыс.</t>
  </si>
  <si>
    <t xml:space="preserve">Раздел 3. Бортовой комплекс — вариант А: промышленные камеры (основной)</t>
  </si>
  <si>
    <t xml:space="preserve">Количество машин задаётся на листе «Сводка» (B5). Съёмка непрерывная по дистанции, обработка на сервере — на борту только запись.</t>
  </si>
  <si>
    <t xml:space="preserve">Промышленная камера 12,3 Мп, global shutter, GigE</t>
  </si>
  <si>
    <t xml:space="preserve">Передняя + задняя съёмка (решение проекта: задняя камера обязательна для two-view глубины). Global shutter обязателен: на 60 км/ч смаз 17 мм/мс, короткая выдержка без геометрических искажений</t>
  </si>
  <si>
    <t xml:space="preserve">Hikrobot MV-CS120-10GC (Sony IMX253, 1.1")</t>
  </si>
  <si>
    <t xml:space="preserve">оценка 130–180 тыс. (дистр.: mallenom.ru, effort-group.ru; 5 Мп GS — 71 638, digitoria.ru)</t>
  </si>
  <si>
    <t xml:space="preserve">2 шт/машину. НЕ брать «дешёвые 20 Мп» на IMX183/IMX226 — там rolling shutter</t>
  </si>
  <si>
    <t xml:space="preserve">Объектив C-mount 12 Мп, 1.1"</t>
  </si>
  <si>
    <t xml:space="preserve">Фокусное 8–12 мм: полоса дороги целиком с дистанций 2,5–8 м</t>
  </si>
  <si>
    <t xml:space="preserve">Hikrobot MVL-KF1228M-12MP (опция: Computar V1228-MPY)</t>
  </si>
  <si>
    <t xml:space="preserve">оценка 25–45 тыс.; Computar 80–120 тыс.</t>
  </si>
  <si>
    <t xml:space="preserve">Термокожух IP66/67 с обогревом + салазки</t>
  </si>
  <si>
    <t xml:space="preserve">Всесезонная работа снаружи кузова</t>
  </si>
  <si>
    <t xml:space="preserve">Wizebox (РФ) / Hikvision DS-1331HZ-H</t>
  </si>
  <si>
    <t xml:space="preserve">оценка 10–25 тыс. (wizebox.ru, satro-paladin.com)</t>
  </si>
  <si>
    <t xml:space="preserve">Бортовой компьютер транспортного исполнения</t>
  </si>
  <si>
    <t xml:space="preserve">Съёмка по дистанции (кадр каждые 3–5 м по GNSS), запись кадров с метаданными, PPS-синхронизация «кадр↔координата», буфер смены. Питание 8–48 В, ignition control, PoE+ для камер</t>
  </si>
  <si>
    <t xml:space="preserve">Neousys Nuvo-7250VTC (встроенный ИБП на суперконденсаторах)</t>
  </si>
  <si>
    <t xml:space="preserve">оценка 450–700 тыс. (nnz-ipc.ru, ipc2u.ru — по запросу); якорь: Jetson AGX Orin 64GB devkit — 413 310 (compacttool.ru)</t>
  </si>
  <si>
    <t xml:space="preserve">Срок поставки 6–12 недель — заказывать первым</t>
  </si>
  <si>
    <t xml:space="preserve">Накопитель NVMe 4 ТБ</t>
  </si>
  <si>
    <t xml:space="preserve">Буфер смены: 10–15 ГБ/смена + запас на неделю</t>
  </si>
  <si>
    <t xml:space="preserve">Samsung 990 Pro 4TB</t>
  </si>
  <si>
    <t xml:space="preserve">regard.ru — 69 990</t>
  </si>
  <si>
    <t xml:space="preserve">Крепёж: платформа, кронштейны, виброразвязка</t>
  </si>
  <si>
    <t xml:space="preserve">Жёсткая фиксация рига — база калибровки (высота, тангаж). Виброразвязка только высокочастотная</t>
  </si>
  <si>
    <t xml:space="preserve">Экспедиционная платформа + кронштейны + виброопоры</t>
  </si>
  <si>
    <t xml:space="preserve">оценка 30–70 тыс.</t>
  </si>
  <si>
    <t xml:space="preserve">Жёсткость важнее демпфирования</t>
  </si>
  <si>
    <t xml:space="preserve">Кабели GigE/M12, PoE, гермовводы, проводка</t>
  </si>
  <si>
    <t xml:space="preserve">Подключение камер и питания</t>
  </si>
  <si>
    <t xml:space="preserve">промышленные Cat6A M12, PoE-инжекторы</t>
  </si>
  <si>
    <t xml:space="preserve">оценка 15–40 тыс.</t>
  </si>
  <si>
    <t xml:space="preserve">LTE-роутер (опция оперативной выгрузки)</t>
  </si>
  <si>
    <t xml:space="preserve">Выгрузка приоритетных сцен с маршрута; основной канал — WiFi в депо</t>
  </si>
  <si>
    <t xml:space="preserve">iRZ / Kroks Rt-Cse (РФ)</t>
  </si>
  <si>
    <t xml:space="preserve">оценка 15–30 тыс. (irz.net, kroks.ru)</t>
  </si>
  <si>
    <t xml:space="preserve">Teltonika RUTX11 — 45 771 (i-teh.com), но вендор ушёл из РФ</t>
  </si>
  <si>
    <t xml:space="preserve">Монтаж на автомобиль, юстировка, калибровка рига</t>
  </si>
  <si>
    <t xml:space="preserve">Интринзики (шахматка), высота, тангаж — риг становится постоянным эталоном масштаба</t>
  </si>
  <si>
    <t xml:space="preserve">Повторная калибровка после каждого демонтажа</t>
  </si>
  <si>
    <t xml:space="preserve">Раздел 4. Бортовой комплекс — вариант Б: видеорегистратор (пилот/бюджет)</t>
  </si>
  <si>
    <t xml:space="preserve">Альтернатива варианту А для сравнения бюджета. Годится для пилота детекции и наработки датасета; метрологические задачи (риговый масштаб, two-view глубина) НЕ решает.</t>
  </si>
  <si>
    <t xml:space="preserve">Видеорегистратор 2-канальный 4K+FHD с GPS</t>
  </si>
  <si>
    <t xml:space="preserve">Бюджетная фиксация перед/зад для пилота и скрининга</t>
  </si>
  <si>
    <t xml:space="preserve">BlackVue DR970X-2CH</t>
  </si>
  <si>
    <t xml:space="preserve">alarm.ru — 85 490 (в наличии)</t>
  </si>
  <si>
    <t xml:space="preserve">Ограничения: rolling shutter, сжатие H.265 (теряет мм-текстуру асфальта), задняя камера только FHD, съёмка по времени, автоэкспозиция. Для измерений глубины НЕ пригоден</t>
  </si>
  <si>
    <t xml:space="preserve">Карта microSD 256 ГБ high-endurance</t>
  </si>
  <si>
    <t xml:space="preserve">Носитель записи</t>
  </si>
  <si>
    <t xml:space="preserve">Samsung PRO Endurance / SanDisk Max Endurance</t>
  </si>
  <si>
    <t xml:space="preserve">Комплект скрытой проводки + установка</t>
  </si>
  <si>
    <t xml:space="preserve">Питание от бортсети с защитой АКБ</t>
  </si>
  <si>
    <t xml:space="preserve">hardwire kit + работы</t>
  </si>
  <si>
    <t xml:space="preserve">GPS-логгер с PPS (резерв привязки времени)</t>
  </si>
  <si>
    <t xml:space="preserve">Дублирующий трек и точное время</t>
  </si>
  <si>
    <t xml:space="preserve">u-blox NEO-M10 с антенной</t>
  </si>
  <si>
    <t xml:space="preserve">amperkot.ru — 1 425</t>
  </si>
  <si>
    <t xml:space="preserve">Раздел 5. Оборудование геопривязки (CAPEX)</t>
  </si>
  <si>
    <t xml:space="preserve">Без геопривязки не работают: группировка кадров в сцены дефектов, дедупликация повторных проездов, назначение ответственных по зонам. Подписки NTRIP — в OPEX (см. Сводку).</t>
  </si>
  <si>
    <t xml:space="preserve">GNSS RTK-модуль с IMU и PPS</t>
  </si>
  <si>
    <t xml:space="preserve">Геопривязка каждого кадра (координата, курс, время), RTK 1–2 см при поправках, dead reckoning в «каньонах» застройки; IMU — первичное уточнение тангажа</t>
  </si>
  <si>
    <t xml:space="preserve">u-blox ZED-F9R (плата ArduSimple simpleRTK2B/SparkFun)</t>
  </si>
  <si>
    <t xml:space="preserve">оценка 40–60 тыс. (параллельный импорт; attal.ru — под заказ)</t>
  </si>
  <si>
    <t xml:space="preserve">PPS-выход синхронизирует затвор камер с координатой</t>
  </si>
  <si>
    <t xml:space="preserve">GNSS-антенна survey-grade, магнитная</t>
  </si>
  <si>
    <t xml:space="preserve">Многодиапазонная L1/L2/L5, IP67, на крышу</t>
  </si>
  <si>
    <t xml:space="preserve">Harxon HX-CSX601A / аналог</t>
  </si>
  <si>
    <t xml:space="preserve">оценка 15–35 тыс. (geodetika.ru)</t>
  </si>
  <si>
    <t xml:space="preserve">Резервный GPS-логгер с PPS</t>
  </si>
  <si>
    <t xml:space="preserve">Независимый трек и время на случай отказа основного</t>
  </si>
  <si>
    <t xml:space="preserve">Собственная базовая станция RTK (на офис/депо)</t>
  </si>
  <si>
    <t xml:space="preserve">Бесплатные поправки для всех машин в радиусе ~30–50 км; исключает подписки NTRIP</t>
  </si>
  <si>
    <t xml:space="preserve">Emlid Reach M2 + антенна</t>
  </si>
  <si>
    <t xml:space="preserve">geobond.ru — Reach M2 89 000 + антенна ~15 тыс.</t>
  </si>
  <si>
    <t xml:space="preserve">У EFT-CORS есть схема «база у вас — 2 доступа бесплатно навсегда»</t>
  </si>
  <si>
    <t xml:space="preserve">OPEX: RTK-поправки NTRIP (если не ставить свою базу)</t>
  </si>
  <si>
    <t xml:space="preserve">Подписка EFT-CORS (покрывает Ростов-на-Дону, офис: Б. Садовая 89)</t>
  </si>
  <si>
    <t xml:space="preserve">50 400 ₽/год на приёмник (30 240 — для приёмников EFT); SmartNet — 41 900 ₽/год</t>
  </si>
  <si>
    <t xml:space="preserve">eft-cors.ru/prices; smartnetrtk.ru</t>
  </si>
  <si>
    <t xml:space="preserve">₽/год на парк; при своей базе = 0</t>
  </si>
  <si>
    <t xml:space="preserve">Раздел 6. Депо: сеть выгрузки и хранение</t>
  </si>
  <si>
    <t xml:space="preserve">Основной канал выгрузки — WiFi в депо (решение проекта: LTE — опция, не базовый канал).</t>
  </si>
  <si>
    <t xml:space="preserve">NAS 8 отсеков</t>
  </si>
  <si>
    <t xml:space="preserve">Приём выгрузки со всех машин, долговременный архив, резервная копия БД</t>
  </si>
  <si>
    <t xml:space="preserve">QNAP TS-873A-8G / Synology DS1821+</t>
  </si>
  <si>
    <t xml:space="preserve">оценка 150–200 тыс. (Synology DS1823xs+ — 280–330 тыс., параллельный импорт)</t>
  </si>
  <si>
    <t xml:space="preserve">HDD NAS/Enterprise 24 ТБ</t>
  </si>
  <si>
    <t xml:space="preserve">8×24 ТБ в RAID6 ≈ 130 ТБ полезной ёмкости — годы архива при 30–45 ГБ/день с парка</t>
  </si>
  <si>
    <t xml:space="preserve">Seagate IronWolf Pro 24TB / Exos X24</t>
  </si>
  <si>
    <t xml:space="preserve">nix.ru — IronWolf Pro 104 263, Exos 120 223; маркетплейсы 65–80 тыс.</t>
  </si>
  <si>
    <t xml:space="preserve">Цены HDD в 2026 удвоились — фиксировать счётом</t>
  </si>
  <si>
    <t xml:space="preserve">Точка доступа WiFi 6 в депо</t>
  </si>
  <si>
    <t xml:space="preserve">Автовыгрузка смены (10–15 ГБ) при заезде — минуты</t>
  </si>
  <si>
    <t xml:space="preserve">TP-Link Omada EAP670 + PoE</t>
  </si>
  <si>
    <t xml:space="preserve">tplink.com.ru — 17 090; i-teh.com — 14 781</t>
  </si>
  <si>
    <t xml:space="preserve">WiFi-мост на стоянку</t>
  </si>
  <si>
    <t xml:space="preserve">Если стоянка машин дальше зоны WiFi депо</t>
  </si>
  <si>
    <t xml:space="preserve">2× TP-Link CPE710</t>
  </si>
  <si>
    <t xml:space="preserve">оценка 16–20 тыс.</t>
  </si>
  <si>
    <t xml:space="preserve">Коммутатор PoE Gigabit/2.5G, 8 портов</t>
  </si>
  <si>
    <t xml:space="preserve">Питание точек доступа, сеть депо</t>
  </si>
  <si>
    <t xml:space="preserve">TP-Link/Keenetic PoE+</t>
  </si>
  <si>
    <t xml:space="preserve">Монтаж сети депо</t>
  </si>
  <si>
    <t xml:space="preserve">Кабельные трассы, настройка</t>
  </si>
  <si>
    <t xml:space="preserve">Раздел 7. Калибровка и контрольные замеры (ground truth)</t>
  </si>
  <si>
    <t xml:space="preserve">Принцип проекта: сертифицируемые сантиметры — только от подтверждённого эталона. Рейка и мишени — источник ground truth и юридической значимости.</t>
  </si>
  <si>
    <t xml:space="preserve">Калибровочные мишени</t>
  </si>
  <si>
    <t xml:space="preserve">Интринзики камер (шахматка) и маркерные доски ChArUco для режима D ручной досъёмки — метрический масштаб и позы кадров через PnP</t>
  </si>
  <si>
    <t xml:space="preserve">Шахматка А1 + ChArUco 2×А2 + 1×А1, УФ-печать на ПВХ 5 мм/алюкобонде, матовая ламинация</t>
  </si>
  <si>
    <t xml:space="preserve">оценка (лист ПВХ 3 мм — 1 390, poliservis.com; АКП А1 — 4,5–6,5 тыс.)</t>
  </si>
  <si>
    <t xml:space="preserve">Жёсткая основа обязательна — лист не должен «гулять»</t>
  </si>
  <si>
    <t xml:space="preserve">Рейка дорожная 3 м с промерным клином, с поверкой</t>
  </si>
  <si>
    <t xml:space="preserve">Юридически значимый ground truth глубины: контрольные замеры 10–15 ям для валидации two-view (пилот, п. 3) и актирование по ГОСТ Р 50597</t>
  </si>
  <si>
    <t xml:space="preserve">РДУ «Кондор» (ГОСТ 30412)</t>
  </si>
  <si>
    <t xml:space="preserve">rusgeocom.ru, laserstroy.ru — 58 000 с поверкой</t>
  </si>
  <si>
    <t xml:space="preserve">Поверка обязательна, если замеры идут в акты; ежегодное продление</t>
  </si>
  <si>
    <t xml:space="preserve">Лазерный дальномер IP65 + поверка</t>
  </si>
  <si>
    <t xml:space="preserve">Дистанции съёмки, высота камер при калибровке</t>
  </si>
  <si>
    <t xml:space="preserve">Leica DISTO X3</t>
  </si>
  <si>
    <t xml:space="preserve">geooptic.ru — 47 300 + поверка 1 000</t>
  </si>
  <si>
    <t xml:space="preserve">Рулетки 5 м, линейки металлические (ГОСТ 427)</t>
  </si>
  <si>
    <t xml:space="preserve">Ручные замеры, высота рига</t>
  </si>
  <si>
    <t xml:space="preserve">Stanley/STAYER + линейка 500 мм</t>
  </si>
  <si>
    <t xml:space="preserve">Комплект безопасности на машину</t>
  </si>
  <si>
    <t xml:space="preserve">Работы на проезжей части при контрольных замерах</t>
  </si>
  <si>
    <t xml:space="preserve">2 жилета + 4 конуса 520 мм с утяжелителем + знак</t>
  </si>
  <si>
    <t xml:space="preserve">оценка (конус — 579–1 120, saturn.net/protect-market.ru)</t>
  </si>
  <si>
    <t xml:space="preserve">Внешний SSD 2 ТБ USB-C</t>
  </si>
  <si>
    <t xml:space="preserve">Ручной перенос данных при недоступности WiFi/LTE</t>
  </si>
  <si>
    <t xml:space="preserve">Samsung T7/T9 2TB</t>
  </si>
  <si>
    <t xml:space="preserve">оценка 18–30 тыс.</t>
  </si>
  <si>
    <t xml:space="preserve">Раздел 8. Опции (НЕ входят в итоговую сумму)</t>
  </si>
  <si>
    <t xml:space="preserve">Позиции по итогам пилота или при масштабировании.</t>
  </si>
  <si>
    <t xml:space="preserve">Второй GPU RTX 6000 Ada 48 ГБ</t>
  </si>
  <si>
    <t xml:space="preserve">Масштабирование: раздельные контуры инференса и дообучения</t>
  </si>
  <si>
    <t xml:space="preserve">NVIDIA RTX 6000 Ada</t>
  </si>
  <si>
    <t xml:space="preserve">servermall.ru</t>
  </si>
  <si>
    <t xml:space="preserve">Слот и питание в платформе заложены</t>
  </si>
  <si>
    <t xml:space="preserve">Камеры 24,5 Мп global shutter вместо 12,3 Мп</t>
  </si>
  <si>
    <t xml:space="preserve">Выше детализация текстуры дна — запас точности фотограмметрии</t>
  </si>
  <si>
    <t xml:space="preserve">Hikrobot MV-CS230-10GC (IMX530)</t>
  </si>
  <si>
    <t xml:space="preserve">оценка доплаты ~100 тыс./камера (полная цена 200–300 тыс.)</t>
  </si>
  <si>
    <t xml:space="preserve">Доплата к варианту А на 3 машины</t>
  </si>
  <si>
    <t xml:space="preserve">ИНС навигационного класса</t>
  </si>
  <si>
    <t xml:space="preserve">Метрологический курс ±0,1° и тангаж ±0,03° — лечит «плавающий тангаж» рига (±1–2° на подвеске)</t>
  </si>
  <si>
    <t xml:space="preserve">ЛМП ГКВ-6 / ГКВ-11 (Зеленоград, РФ)</t>
  </si>
  <si>
    <t xml:space="preserve">оценка 300–800 тыс., mp-lab.ru — по запросу</t>
  </si>
  <si>
    <t xml:space="preserve">Ставить по итогам пилота, если программного уточнения тангажа окажется мало</t>
  </si>
  <si>
    <t xml:space="preserve">Датчик пройденного пути (DMI)</t>
  </si>
  <si>
    <t xml:space="preserve">Точный линейный километраж класса дорожных лабораторий</t>
  </si>
  <si>
    <t xml:space="preserve">Сенсорика ИСД-3/ИСД-5</t>
  </si>
  <si>
    <t xml:space="preserve">оценка 300–800 тыс., sensorika.com — по запросу</t>
  </si>
  <si>
    <t xml:space="preserve">Старт: одометрия из CAN/OBD — бесплатно</t>
  </si>
  <si>
    <t xml:space="preserve">Дополнительное АРМ оператора</t>
  </si>
  <si>
    <t xml:space="preserve">При росте потока разметки/контроля</t>
  </si>
  <si>
    <t xml:space="preserve">конфигурация раздела 2</t>
  </si>
  <si>
    <t xml:space="preserve">см. раздел 2</t>
  </si>
  <si>
    <t xml:space="preserve">NTP-сервер точного времени ГЛОНАСС/GPS</t>
  </si>
  <si>
    <t xml:space="preserve">Единое время сервера и бортов</t>
  </si>
  <si>
    <t xml:space="preserve">СТВ-01 или Raspberry Pi + GNSS PPS (10–20 тыс.)</t>
  </si>
  <si>
    <t xml:space="preserve">оценка 80–200 тыс. (tdatm.ru)</t>
  </si>
  <si>
    <t xml:space="preserve">Аренда GPU-сервера на период пилота (3 мес)</t>
  </si>
  <si>
    <t xml:space="preserve">Отложить покупку сервера до подтверждения пилота</t>
  </si>
  <si>
    <t xml:space="preserve">1×RTX 4090, immers.cloud</t>
  </si>
  <si>
    <t xml:space="preserve">immers.cloud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</si>
</sst>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2F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74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39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3</v>
      </c>
      <c r="C5" s="7" t="s">
        <v>4</v>
      </c>
    </row>
    <row r="7" customFormat="false" ht="15" hidden="false" customHeight="false" outlineLevel="0" collapsed="false">
      <c r="A7" s="3" t="s">
        <v>5</v>
      </c>
      <c r="B7" s="4"/>
      <c r="C7" s="4"/>
    </row>
    <row r="8" customFormat="false" ht="15" hidden="false" customHeight="false" outlineLevel="0" collapsed="false">
      <c r="A8" s="8" t="s">
        <v>6</v>
      </c>
      <c r="B8" s="9" t="n">
        <f aca="false">1_Сервер!H16</f>
        <v>3835000</v>
      </c>
      <c r="C8" s="10" t="s">
        <v>7</v>
      </c>
    </row>
    <row r="9" customFormat="false" ht="15" hidden="false" customHeight="false" outlineLevel="0" collapsed="false">
      <c r="A9" s="8" t="s">
        <v>8</v>
      </c>
      <c r="B9" s="9" t="n">
        <f aca="false">2_АРМ!H8</f>
        <v>658000</v>
      </c>
      <c r="C9" s="10" t="s">
        <v>9</v>
      </c>
    </row>
    <row r="10" customFormat="false" ht="15" hidden="false" customHeight="false" outlineLevel="0" collapsed="false">
      <c r="A10" s="8" t="s">
        <v>10</v>
      </c>
      <c r="B10" s="9" t="n">
        <f aca="false">3_Борт_А!H13</f>
        <v>3687000</v>
      </c>
      <c r="C10" s="10" t="s">
        <v>11</v>
      </c>
    </row>
    <row r="11" customFormat="false" ht="15" hidden="false" customHeight="false" outlineLevel="0" collapsed="false">
      <c r="A11" s="8" t="s">
        <v>12</v>
      </c>
      <c r="B11" s="9" t="n">
        <f aca="false">5_Геолокация!H8</f>
        <v>351000</v>
      </c>
      <c r="C11" s="10" t="s">
        <v>13</v>
      </c>
    </row>
    <row r="12" customFormat="false" ht="15" hidden="false" customHeight="false" outlineLevel="0" collapsed="false">
      <c r="A12" s="8" t="s">
        <v>14</v>
      </c>
      <c r="B12" s="9" t="n">
        <f aca="false">6_Депо_СХД!H10</f>
        <v>1145000</v>
      </c>
      <c r="C12" s="10" t="s">
        <v>15</v>
      </c>
    </row>
    <row r="13" customFormat="false" ht="15" hidden="false" customHeight="false" outlineLevel="0" collapsed="false">
      <c r="A13" s="8" t="s">
        <v>16</v>
      </c>
      <c r="B13" s="9" t="n">
        <f aca="false">7_Калибровка!H10</f>
        <v>273000</v>
      </c>
      <c r="C13" s="10" t="s">
        <v>17</v>
      </c>
    </row>
    <row r="14" customFormat="false" ht="15" hidden="false" customHeight="false" outlineLevel="0" collapsed="false">
      <c r="A14" s="11" t="s">
        <v>18</v>
      </c>
      <c r="B14" s="12" t="n">
        <f aca="false">SUM(B8:B13)</f>
        <v>9949000</v>
      </c>
      <c r="C14" s="13"/>
    </row>
    <row r="15" customFormat="false" ht="15" hidden="false" customHeight="false" outlineLevel="0" collapsed="false">
      <c r="A15" s="14" t="s">
        <v>19</v>
      </c>
      <c r="B15" s="15" t="n">
        <f aca="false">ROUND(B14*0.1,-3)</f>
        <v>995000</v>
      </c>
      <c r="C15" s="16" t="s">
        <v>20</v>
      </c>
    </row>
    <row r="16" customFormat="false" ht="15" hidden="false" customHeight="false" outlineLevel="0" collapsed="false">
      <c r="A16" s="17" t="s">
        <v>21</v>
      </c>
      <c r="B16" s="18" t="n">
        <f aca="false">B14+B15</f>
        <v>10944000</v>
      </c>
      <c r="C16" s="13"/>
    </row>
    <row r="18" customFormat="false" ht="15" hidden="false" customHeight="false" outlineLevel="0" collapsed="false">
      <c r="A18" s="3" t="s">
        <v>22</v>
      </c>
      <c r="B18" s="4"/>
      <c r="C18" s="4"/>
    </row>
    <row r="19" customFormat="false" ht="22.35" hidden="false" customHeight="false" outlineLevel="0" collapsed="false">
      <c r="A19" s="8" t="s">
        <v>23</v>
      </c>
      <c r="B19" s="9" t="n">
        <f aca="false">4_Борт_Б!H8</f>
        <v>324000</v>
      </c>
      <c r="C19" s="10" t="s">
        <v>24</v>
      </c>
    </row>
    <row r="20" customFormat="false" ht="15" hidden="false" customHeight="false" outlineLevel="0" collapsed="false">
      <c r="A20" s="11" t="s">
        <v>25</v>
      </c>
      <c r="B20" s="12" t="n">
        <f aca="false">B14-B10+B19</f>
        <v>6586000</v>
      </c>
      <c r="C20" s="19" t="s">
        <v>26</v>
      </c>
    </row>
    <row r="21" customFormat="false" ht="15" hidden="false" customHeight="false" outlineLevel="0" collapsed="false">
      <c r="A21" s="14" t="s">
        <v>27</v>
      </c>
      <c r="B21" s="15" t="n">
        <f aca="false">B20+ROUND(B20*0.1,-3)</f>
        <v>7245000</v>
      </c>
      <c r="C21" s="20"/>
    </row>
    <row r="23" customFormat="false" ht="15" hidden="false" customHeight="false" outlineLevel="0" collapsed="false">
      <c r="A23" s="3" t="s">
        <v>28</v>
      </c>
      <c r="B23" s="4"/>
      <c r="C23" s="4"/>
    </row>
    <row r="24" customFormat="false" ht="15" hidden="false" customHeight="false" outlineLevel="0" collapsed="false">
      <c r="A24" s="14" t="s">
        <v>29</v>
      </c>
      <c r="B24" s="21" t="n">
        <f aca="false">5_Геолокация!H11</f>
        <v>151200</v>
      </c>
      <c r="C24" s="16" t="s">
        <v>30</v>
      </c>
    </row>
    <row r="25" customFormat="false" ht="15" hidden="false" customHeight="false" outlineLevel="0" collapsed="false">
      <c r="A25" s="14" t="s">
        <v>31</v>
      </c>
      <c r="B25" s="22" t="n">
        <v>25000</v>
      </c>
      <c r="C25" s="20"/>
    </row>
    <row r="26" customFormat="false" ht="15" hidden="false" customHeight="false" outlineLevel="0" collapsed="false">
      <c r="A26" s="14" t="s">
        <v>32</v>
      </c>
      <c r="B26" s="22" t="n">
        <v>15000</v>
      </c>
      <c r="C26" s="20"/>
    </row>
    <row r="27" customFormat="false" ht="15" hidden="false" customHeight="false" outlineLevel="0" collapsed="false">
      <c r="A27" s="11" t="s">
        <v>33</v>
      </c>
      <c r="B27" s="12" t="n">
        <f aca="false">B24+B25+B26</f>
        <v>191200</v>
      </c>
      <c r="C27" s="19" t="s">
        <v>34</v>
      </c>
    </row>
    <row r="29" customFormat="false" ht="15" hidden="false" customHeight="false" outlineLevel="0" collapsed="false">
      <c r="A29" s="5" t="s">
        <v>35</v>
      </c>
      <c r="B29" s="5" t="s">
        <v>36</v>
      </c>
      <c r="C29" s="23" t="s">
        <v>37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38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35.05" hidden="false" customHeight="false" outlineLevel="0" collapsed="false">
      <c r="A4" s="26" t="n">
        <v>1</v>
      </c>
      <c r="B4" s="27" t="s">
        <v>50</v>
      </c>
      <c r="C4" s="8" t="s">
        <v>51</v>
      </c>
      <c r="D4" s="8" t="s">
        <v>52</v>
      </c>
      <c r="E4" s="26" t="s">
        <v>53</v>
      </c>
      <c r="F4" s="28" t="n">
        <v>1</v>
      </c>
      <c r="G4" s="29" t="n">
        <v>1000000</v>
      </c>
      <c r="H4" s="30" t="n">
        <f aca="false">F4*G4</f>
        <v>1000000</v>
      </c>
      <c r="I4" s="8" t="s">
        <v>54</v>
      </c>
      <c r="J4" s="8" t="s">
        <v>55</v>
      </c>
    </row>
    <row r="5" customFormat="false" ht="23.85" hidden="false" customHeight="false" outlineLevel="0" collapsed="false">
      <c r="A5" s="26" t="n">
        <v>2</v>
      </c>
      <c r="B5" s="27" t="s">
        <v>56</v>
      </c>
      <c r="C5" s="8" t="s">
        <v>57</v>
      </c>
      <c r="D5" s="8" t="s">
        <v>58</v>
      </c>
      <c r="E5" s="26" t="s">
        <v>53</v>
      </c>
      <c r="F5" s="28" t="n">
        <v>1</v>
      </c>
      <c r="G5" s="29" t="n">
        <v>225000</v>
      </c>
      <c r="H5" s="30" t="n">
        <f aca="false">F5*G5</f>
        <v>225000</v>
      </c>
      <c r="I5" s="8" t="s">
        <v>59</v>
      </c>
      <c r="J5" s="8" t="s">
        <v>60</v>
      </c>
    </row>
    <row r="6" customFormat="false" ht="35.05" hidden="false" customHeight="false" outlineLevel="0" collapsed="false">
      <c r="A6" s="26" t="n">
        <v>3</v>
      </c>
      <c r="B6" s="27" t="s">
        <v>61</v>
      </c>
      <c r="C6" s="8" t="s">
        <v>62</v>
      </c>
      <c r="D6" s="8" t="s">
        <v>63</v>
      </c>
      <c r="E6" s="26" t="s">
        <v>64</v>
      </c>
      <c r="F6" s="28" t="n">
        <v>1</v>
      </c>
      <c r="G6" s="29" t="n">
        <v>520000</v>
      </c>
      <c r="H6" s="30" t="n">
        <f aca="false">F6*G6</f>
        <v>520000</v>
      </c>
      <c r="I6" s="8" t="s">
        <v>65</v>
      </c>
      <c r="J6" s="8" t="s">
        <v>66</v>
      </c>
    </row>
    <row r="7" customFormat="false" ht="35.05" hidden="false" customHeight="false" outlineLevel="0" collapsed="false">
      <c r="A7" s="26" t="n">
        <v>4</v>
      </c>
      <c r="B7" s="27" t="s">
        <v>67</v>
      </c>
      <c r="C7" s="8" t="s">
        <v>68</v>
      </c>
      <c r="D7" s="8" t="s">
        <v>69</v>
      </c>
      <c r="E7" s="26" t="s">
        <v>53</v>
      </c>
      <c r="F7" s="28" t="n">
        <v>1</v>
      </c>
      <c r="G7" s="29" t="n">
        <v>840000</v>
      </c>
      <c r="H7" s="30" t="n">
        <f aca="false">F7*G7</f>
        <v>840000</v>
      </c>
      <c r="I7" s="8" t="s">
        <v>70</v>
      </c>
      <c r="J7" s="8" t="s">
        <v>71</v>
      </c>
    </row>
    <row r="8" customFormat="false" ht="23.85" hidden="false" customHeight="false" outlineLevel="0" collapsed="false">
      <c r="A8" s="26" t="n">
        <v>5</v>
      </c>
      <c r="B8" s="27" t="s">
        <v>72</v>
      </c>
      <c r="C8" s="8" t="s">
        <v>73</v>
      </c>
      <c r="D8" s="8" t="s">
        <v>74</v>
      </c>
      <c r="E8" s="26" t="s">
        <v>53</v>
      </c>
      <c r="F8" s="28" t="n">
        <v>2</v>
      </c>
      <c r="G8" s="29" t="n">
        <v>205000</v>
      </c>
      <c r="H8" s="30" t="n">
        <f aca="false">F8*G8</f>
        <v>410000</v>
      </c>
      <c r="I8" s="8" t="s">
        <v>75</v>
      </c>
      <c r="J8" s="8" t="s">
        <v>76</v>
      </c>
    </row>
    <row r="9" customFormat="false" ht="35.05" hidden="false" customHeight="false" outlineLevel="0" collapsed="false">
      <c r="A9" s="26" t="n">
        <v>6</v>
      </c>
      <c r="B9" s="27" t="s">
        <v>77</v>
      </c>
      <c r="C9" s="8" t="s">
        <v>78</v>
      </c>
      <c r="D9" s="8" t="s">
        <v>79</v>
      </c>
      <c r="E9" s="26" t="s">
        <v>53</v>
      </c>
      <c r="F9" s="28" t="n">
        <v>4</v>
      </c>
      <c r="G9" s="29" t="n">
        <v>120000</v>
      </c>
      <c r="H9" s="30" t="n">
        <f aca="false">F9*G9</f>
        <v>480000</v>
      </c>
      <c r="I9" s="8" t="s">
        <v>80</v>
      </c>
      <c r="J9" s="8" t="s">
        <v>81</v>
      </c>
    </row>
    <row r="10" customFormat="false" ht="15" hidden="false" customHeight="false" outlineLevel="0" collapsed="false">
      <c r="A10" s="26" t="n">
        <v>7</v>
      </c>
      <c r="B10" s="27" t="s">
        <v>82</v>
      </c>
      <c r="C10" s="8" t="s">
        <v>83</v>
      </c>
      <c r="D10" s="8" t="s">
        <v>84</v>
      </c>
      <c r="E10" s="26" t="s">
        <v>53</v>
      </c>
      <c r="F10" s="28" t="n">
        <v>1</v>
      </c>
      <c r="G10" s="29" t="n">
        <v>60000</v>
      </c>
      <c r="H10" s="30" t="n">
        <f aca="false">F10*G10</f>
        <v>60000</v>
      </c>
      <c r="I10" s="8" t="s">
        <v>85</v>
      </c>
      <c r="J10" s="8"/>
    </row>
    <row r="11" customFormat="false" ht="15" hidden="false" customHeight="false" outlineLevel="0" collapsed="false">
      <c r="A11" s="26" t="n">
        <v>8</v>
      </c>
      <c r="B11" s="27" t="s">
        <v>86</v>
      </c>
      <c r="C11" s="8" t="s">
        <v>87</v>
      </c>
      <c r="D11" s="8" t="s">
        <v>88</v>
      </c>
      <c r="E11" s="26" t="s">
        <v>53</v>
      </c>
      <c r="F11" s="28" t="n">
        <v>1</v>
      </c>
      <c r="G11" s="29" t="n">
        <v>45000</v>
      </c>
      <c r="H11" s="30" t="n">
        <f aca="false">F11*G11</f>
        <v>45000</v>
      </c>
      <c r="I11" s="8" t="s">
        <v>85</v>
      </c>
      <c r="J11" s="8" t="s">
        <v>89</v>
      </c>
    </row>
    <row r="12" customFormat="false" ht="46.25" hidden="false" customHeight="false" outlineLevel="0" collapsed="false">
      <c r="A12" s="26" t="n">
        <v>9</v>
      </c>
      <c r="B12" s="27" t="s">
        <v>90</v>
      </c>
      <c r="C12" s="8" t="s">
        <v>91</v>
      </c>
      <c r="D12" s="8" t="s">
        <v>92</v>
      </c>
      <c r="E12" s="26" t="s">
        <v>53</v>
      </c>
      <c r="F12" s="28" t="n">
        <v>1</v>
      </c>
      <c r="G12" s="29" t="n">
        <v>100000</v>
      </c>
      <c r="H12" s="30" t="n">
        <f aca="false">F12*G12</f>
        <v>100000</v>
      </c>
      <c r="I12" s="8" t="s">
        <v>93</v>
      </c>
      <c r="J12" s="8"/>
    </row>
    <row r="13" customFormat="false" ht="35.05" hidden="false" customHeight="false" outlineLevel="0" collapsed="false">
      <c r="A13" s="26" t="n">
        <v>10</v>
      </c>
      <c r="B13" s="27" t="s">
        <v>94</v>
      </c>
      <c r="C13" s="8" t="s">
        <v>95</v>
      </c>
      <c r="D13" s="8" t="s">
        <v>96</v>
      </c>
      <c r="E13" s="26" t="s">
        <v>64</v>
      </c>
      <c r="F13" s="28" t="n">
        <v>1</v>
      </c>
      <c r="G13" s="29" t="n">
        <v>60000</v>
      </c>
      <c r="H13" s="30" t="n">
        <f aca="false">F13*G13</f>
        <v>60000</v>
      </c>
      <c r="I13" s="8" t="s">
        <v>97</v>
      </c>
      <c r="J13" s="8"/>
    </row>
    <row r="14" customFormat="false" ht="23.85" hidden="false" customHeight="false" outlineLevel="0" collapsed="false">
      <c r="A14" s="26" t="n">
        <v>11</v>
      </c>
      <c r="B14" s="27" t="s">
        <v>98</v>
      </c>
      <c r="C14" s="8" t="s">
        <v>99</v>
      </c>
      <c r="D14" s="8" t="s">
        <v>100</v>
      </c>
      <c r="E14" s="26" t="s">
        <v>53</v>
      </c>
      <c r="F14" s="28" t="n">
        <v>1</v>
      </c>
      <c r="G14" s="29" t="n">
        <v>45000</v>
      </c>
      <c r="H14" s="30" t="n">
        <f aca="false">F14*G14</f>
        <v>45000</v>
      </c>
      <c r="I14" s="8" t="s">
        <v>101</v>
      </c>
      <c r="J14" s="8"/>
    </row>
    <row r="15" customFormat="false" ht="23.85" hidden="false" customHeight="false" outlineLevel="0" collapsed="false">
      <c r="A15" s="26" t="n">
        <v>12</v>
      </c>
      <c r="B15" s="27" t="s">
        <v>102</v>
      </c>
      <c r="C15" s="8" t="s">
        <v>103</v>
      </c>
      <c r="D15" s="8" t="s">
        <v>104</v>
      </c>
      <c r="E15" s="26" t="s">
        <v>105</v>
      </c>
      <c r="F15" s="28" t="n">
        <v>1</v>
      </c>
      <c r="G15" s="29" t="n">
        <v>50000</v>
      </c>
      <c r="H15" s="30" t="n">
        <f aca="false">F15*G15</f>
        <v>50000</v>
      </c>
      <c r="I15" s="8" t="s">
        <v>85</v>
      </c>
      <c r="J15" s="8" t="s">
        <v>106</v>
      </c>
    </row>
    <row r="16" customFormat="false" ht="15" hidden="false" customHeight="false" outlineLevel="0" collapsed="false">
      <c r="A16" s="13"/>
      <c r="B16" s="11" t="s">
        <v>107</v>
      </c>
      <c r="C16" s="13"/>
      <c r="D16" s="13"/>
      <c r="E16" s="13"/>
      <c r="F16" s="13"/>
      <c r="G16" s="13"/>
      <c r="H16" s="12" t="n">
        <f aca="false">SUM(H4:H15)</f>
        <v>3835000</v>
      </c>
      <c r="I16" s="13"/>
      <c r="J16" s="13"/>
    </row>
    <row r="18" customFormat="false" ht="15" hidden="false" customHeight="false" outlineLevel="0" collapsed="false">
      <c r="B18" s="3" t="s">
        <v>108</v>
      </c>
      <c r="C18" s="4"/>
      <c r="D18" s="4"/>
      <c r="E18" s="4"/>
      <c r="F18" s="4"/>
      <c r="G18" s="4"/>
      <c r="H18" s="4"/>
      <c r="I18" s="4"/>
      <c r="J18" s="4"/>
    </row>
    <row r="19" customFormat="false" ht="35.05" hidden="false" customHeight="false" outlineLevel="0" collapsed="false">
      <c r="B19" s="8" t="s">
        <v>109</v>
      </c>
      <c r="C19" s="8" t="s">
        <v>110</v>
      </c>
      <c r="D19" s="8" t="s">
        <v>111</v>
      </c>
      <c r="E19" s="8" t="s">
        <v>112</v>
      </c>
      <c r="F19" s="31"/>
      <c r="G19" s="29" t="n">
        <v>50000</v>
      </c>
      <c r="H19" s="31"/>
      <c r="I19" s="8" t="s">
        <v>113</v>
      </c>
      <c r="J19" s="31"/>
    </row>
    <row r="20" customFormat="false" ht="15" hidden="false" customHeight="false" outlineLevel="0" collapsed="false">
      <c r="B20" s="8" t="s">
        <v>114</v>
      </c>
      <c r="C20" s="8" t="s">
        <v>115</v>
      </c>
      <c r="D20" s="8" t="s">
        <v>116</v>
      </c>
      <c r="E20" s="8" t="s">
        <v>112</v>
      </c>
      <c r="F20" s="31"/>
      <c r="G20" s="29" t="n">
        <v>150000</v>
      </c>
      <c r="H20" s="31"/>
      <c r="I20" s="8" t="s">
        <v>117</v>
      </c>
      <c r="J20" s="31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118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35.05" hidden="false" customHeight="false" outlineLevel="0" collapsed="false">
      <c r="A4" s="26" t="n">
        <v>1</v>
      </c>
      <c r="B4" s="27" t="s">
        <v>120</v>
      </c>
      <c r="C4" s="8" t="s">
        <v>121</v>
      </c>
      <c r="D4" s="8" t="s">
        <v>122</v>
      </c>
      <c r="E4" s="26" t="s">
        <v>53</v>
      </c>
      <c r="F4" s="28" t="n">
        <v>1</v>
      </c>
      <c r="G4" s="29" t="n">
        <v>460000</v>
      </c>
      <c r="H4" s="30" t="n">
        <f aca="false">F4*G4</f>
        <v>460000</v>
      </c>
      <c r="I4" s="8" t="s">
        <v>123</v>
      </c>
      <c r="J4" s="8" t="s">
        <v>124</v>
      </c>
    </row>
    <row r="5" customFormat="false" ht="23.85" hidden="false" customHeight="false" outlineLevel="0" collapsed="false">
      <c r="A5" s="26" t="n">
        <v>2</v>
      </c>
      <c r="B5" s="27" t="s">
        <v>125</v>
      </c>
      <c r="C5" s="8" t="s">
        <v>126</v>
      </c>
      <c r="D5" s="8" t="s">
        <v>127</v>
      </c>
      <c r="E5" s="26" t="s">
        <v>53</v>
      </c>
      <c r="F5" s="28" t="n">
        <v>2</v>
      </c>
      <c r="G5" s="29" t="n">
        <v>55000</v>
      </c>
      <c r="H5" s="30" t="n">
        <f aca="false">F5*G5</f>
        <v>110000</v>
      </c>
      <c r="I5" s="8" t="s">
        <v>128</v>
      </c>
      <c r="J5" s="8"/>
    </row>
    <row r="6" customFormat="false" ht="23.85" hidden="false" customHeight="false" outlineLevel="0" collapsed="false">
      <c r="A6" s="26" t="n">
        <v>3</v>
      </c>
      <c r="B6" s="27" t="s">
        <v>129</v>
      </c>
      <c r="C6" s="8" t="s">
        <v>130</v>
      </c>
      <c r="D6" s="8" t="s">
        <v>131</v>
      </c>
      <c r="E6" s="26" t="s">
        <v>53</v>
      </c>
      <c r="F6" s="28" t="n">
        <v>1</v>
      </c>
      <c r="G6" s="29" t="n">
        <v>38000</v>
      </c>
      <c r="H6" s="30" t="n">
        <f aca="false">F6*G6</f>
        <v>38000</v>
      </c>
      <c r="I6" s="8" t="s">
        <v>132</v>
      </c>
      <c r="J6" s="8"/>
    </row>
    <row r="7" customFormat="false" ht="23.85" hidden="false" customHeight="false" outlineLevel="0" collapsed="false">
      <c r="A7" s="26" t="n">
        <v>4</v>
      </c>
      <c r="B7" s="27" t="s">
        <v>133</v>
      </c>
      <c r="C7" s="8" t="s">
        <v>134</v>
      </c>
      <c r="D7" s="8" t="s">
        <v>135</v>
      </c>
      <c r="E7" s="26" t="s">
        <v>64</v>
      </c>
      <c r="F7" s="28" t="n">
        <v>1</v>
      </c>
      <c r="G7" s="29" t="n">
        <v>50000</v>
      </c>
      <c r="H7" s="30" t="n">
        <f aca="false">F7*G7</f>
        <v>50000</v>
      </c>
      <c r="I7" s="8" t="s">
        <v>136</v>
      </c>
      <c r="J7" s="8" t="s">
        <v>137</v>
      </c>
    </row>
    <row r="8" customFormat="false" ht="15" hidden="false" customHeight="false" outlineLevel="0" collapsed="false">
      <c r="A8" s="13"/>
      <c r="B8" s="11" t="s">
        <v>107</v>
      </c>
      <c r="C8" s="13"/>
      <c r="D8" s="13"/>
      <c r="E8" s="13"/>
      <c r="F8" s="13"/>
      <c r="G8" s="13"/>
      <c r="H8" s="12" t="n">
        <f aca="false">SUM(H4:H7)</f>
        <v>658000</v>
      </c>
      <c r="I8" s="13"/>
      <c r="J8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138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57.45" hidden="false" customHeight="false" outlineLevel="0" collapsed="false">
      <c r="A4" s="26" t="n">
        <v>1</v>
      </c>
      <c r="B4" s="27" t="s">
        <v>140</v>
      </c>
      <c r="C4" s="8" t="s">
        <v>141</v>
      </c>
      <c r="D4" s="8" t="s">
        <v>142</v>
      </c>
      <c r="E4" s="26" t="s">
        <v>53</v>
      </c>
      <c r="F4" s="26" t="n">
        <f aca="false">2*Сводка!$B$5</f>
        <v>6</v>
      </c>
      <c r="G4" s="29" t="n">
        <v>160000</v>
      </c>
      <c r="H4" s="30" t="n">
        <f aca="false">F4*G4</f>
        <v>960000</v>
      </c>
      <c r="I4" s="8" t="s">
        <v>143</v>
      </c>
      <c r="J4" s="8" t="s">
        <v>144</v>
      </c>
    </row>
    <row r="5" customFormat="false" ht="23.85" hidden="false" customHeight="false" outlineLevel="0" collapsed="false">
      <c r="A5" s="26" t="n">
        <v>2</v>
      </c>
      <c r="B5" s="27" t="s">
        <v>145</v>
      </c>
      <c r="C5" s="8" t="s">
        <v>146</v>
      </c>
      <c r="D5" s="8" t="s">
        <v>147</v>
      </c>
      <c r="E5" s="26" t="s">
        <v>53</v>
      </c>
      <c r="F5" s="26" t="n">
        <f aca="false">2*Сводка!$B$5</f>
        <v>6</v>
      </c>
      <c r="G5" s="29" t="n">
        <v>40000</v>
      </c>
      <c r="H5" s="30" t="n">
        <f aca="false">F5*G5</f>
        <v>240000</v>
      </c>
      <c r="I5" s="8" t="s">
        <v>148</v>
      </c>
      <c r="J5" s="8"/>
    </row>
    <row r="6" customFormat="false" ht="35.05" hidden="false" customHeight="false" outlineLevel="0" collapsed="false">
      <c r="A6" s="26" t="n">
        <v>3</v>
      </c>
      <c r="B6" s="27" t="s">
        <v>149</v>
      </c>
      <c r="C6" s="8" t="s">
        <v>150</v>
      </c>
      <c r="D6" s="8" t="s">
        <v>151</v>
      </c>
      <c r="E6" s="26" t="s">
        <v>53</v>
      </c>
      <c r="F6" s="26" t="n">
        <f aca="false">2*Сводка!$B$5</f>
        <v>6</v>
      </c>
      <c r="G6" s="29" t="n">
        <v>22000</v>
      </c>
      <c r="H6" s="30" t="n">
        <f aca="false">F6*G6</f>
        <v>132000</v>
      </c>
      <c r="I6" s="8" t="s">
        <v>152</v>
      </c>
      <c r="J6" s="8"/>
    </row>
    <row r="7" customFormat="false" ht="57.45" hidden="false" customHeight="false" outlineLevel="0" collapsed="false">
      <c r="A7" s="26" t="n">
        <v>4</v>
      </c>
      <c r="B7" s="27" t="s">
        <v>153</v>
      </c>
      <c r="C7" s="8" t="s">
        <v>154</v>
      </c>
      <c r="D7" s="8" t="s">
        <v>155</v>
      </c>
      <c r="E7" s="26" t="s">
        <v>53</v>
      </c>
      <c r="F7" s="26" t="n">
        <f aca="false">1*Сводка!$B$5</f>
        <v>3</v>
      </c>
      <c r="G7" s="29" t="n">
        <v>550000</v>
      </c>
      <c r="H7" s="30" t="n">
        <f aca="false">F7*G7</f>
        <v>1650000</v>
      </c>
      <c r="I7" s="8" t="s">
        <v>156</v>
      </c>
      <c r="J7" s="8" t="s">
        <v>157</v>
      </c>
    </row>
    <row r="8" customFormat="false" ht="15" hidden="false" customHeight="false" outlineLevel="0" collapsed="false">
      <c r="A8" s="26" t="n">
        <v>5</v>
      </c>
      <c r="B8" s="27" t="s">
        <v>158</v>
      </c>
      <c r="C8" s="8" t="s">
        <v>159</v>
      </c>
      <c r="D8" s="8" t="s">
        <v>160</v>
      </c>
      <c r="E8" s="26" t="s">
        <v>53</v>
      </c>
      <c r="F8" s="26" t="n">
        <f aca="false">1*Сводка!$B$5</f>
        <v>3</v>
      </c>
      <c r="G8" s="29" t="n">
        <v>70000</v>
      </c>
      <c r="H8" s="30" t="n">
        <f aca="false">F8*G8</f>
        <v>210000</v>
      </c>
      <c r="I8" s="8" t="s">
        <v>161</v>
      </c>
      <c r="J8" s="8"/>
    </row>
    <row r="9" customFormat="false" ht="35.05" hidden="false" customHeight="false" outlineLevel="0" collapsed="false">
      <c r="A9" s="26" t="n">
        <v>6</v>
      </c>
      <c r="B9" s="27" t="s">
        <v>162</v>
      </c>
      <c r="C9" s="8" t="s">
        <v>163</v>
      </c>
      <c r="D9" s="8" t="s">
        <v>164</v>
      </c>
      <c r="E9" s="26" t="s">
        <v>64</v>
      </c>
      <c r="F9" s="26" t="n">
        <f aca="false">1*Сводка!$B$5</f>
        <v>3</v>
      </c>
      <c r="G9" s="29" t="n">
        <v>50000</v>
      </c>
      <c r="H9" s="30" t="n">
        <f aca="false">F9*G9</f>
        <v>150000</v>
      </c>
      <c r="I9" s="8" t="s">
        <v>165</v>
      </c>
      <c r="J9" s="8" t="s">
        <v>166</v>
      </c>
    </row>
    <row r="10" customFormat="false" ht="23.85" hidden="false" customHeight="false" outlineLevel="0" collapsed="false">
      <c r="A10" s="26" t="n">
        <v>7</v>
      </c>
      <c r="B10" s="27" t="s">
        <v>167</v>
      </c>
      <c r="C10" s="8" t="s">
        <v>168</v>
      </c>
      <c r="D10" s="8" t="s">
        <v>169</v>
      </c>
      <c r="E10" s="26" t="s">
        <v>64</v>
      </c>
      <c r="F10" s="26" t="n">
        <f aca="false">1*Сводка!$B$5</f>
        <v>3</v>
      </c>
      <c r="G10" s="29" t="n">
        <v>30000</v>
      </c>
      <c r="H10" s="30" t="n">
        <f aca="false">F10*G10</f>
        <v>90000</v>
      </c>
      <c r="I10" s="8" t="s">
        <v>170</v>
      </c>
      <c r="J10" s="8"/>
    </row>
    <row r="11" customFormat="false" ht="23.85" hidden="false" customHeight="false" outlineLevel="0" collapsed="false">
      <c r="A11" s="26" t="n">
        <v>8</v>
      </c>
      <c r="B11" s="27" t="s">
        <v>171</v>
      </c>
      <c r="C11" s="8" t="s">
        <v>172</v>
      </c>
      <c r="D11" s="8" t="s">
        <v>173</v>
      </c>
      <c r="E11" s="26" t="s">
        <v>53</v>
      </c>
      <c r="F11" s="26" t="n">
        <f aca="false">1*Сводка!$B$5</f>
        <v>3</v>
      </c>
      <c r="G11" s="29" t="n">
        <v>25000</v>
      </c>
      <c r="H11" s="30" t="n">
        <f aca="false">F11*G11</f>
        <v>75000</v>
      </c>
      <c r="I11" s="8" t="s">
        <v>174</v>
      </c>
      <c r="J11" s="8" t="s">
        <v>175</v>
      </c>
    </row>
    <row r="12" customFormat="false" ht="23.85" hidden="false" customHeight="false" outlineLevel="0" collapsed="false">
      <c r="A12" s="26" t="n">
        <v>9</v>
      </c>
      <c r="B12" s="27" t="s">
        <v>176</v>
      </c>
      <c r="C12" s="8" t="s">
        <v>177</v>
      </c>
      <c r="D12" s="8" t="s">
        <v>104</v>
      </c>
      <c r="E12" s="26" t="s">
        <v>105</v>
      </c>
      <c r="F12" s="26" t="n">
        <f aca="false">1*Сводка!$B$5</f>
        <v>3</v>
      </c>
      <c r="G12" s="29" t="n">
        <v>60000</v>
      </c>
      <c r="H12" s="30" t="n">
        <f aca="false">F12*G12</f>
        <v>180000</v>
      </c>
      <c r="I12" s="8" t="s">
        <v>85</v>
      </c>
      <c r="J12" s="8" t="s">
        <v>178</v>
      </c>
    </row>
    <row r="13" customFormat="false" ht="15" hidden="false" customHeight="false" outlineLevel="0" collapsed="false">
      <c r="A13" s="13"/>
      <c r="B13" s="11" t="s">
        <v>107</v>
      </c>
      <c r="C13" s="13"/>
      <c r="D13" s="13"/>
      <c r="E13" s="13"/>
      <c r="F13" s="13"/>
      <c r="G13" s="13"/>
      <c r="H13" s="12" t="n">
        <f aca="false">SUM(H4:H12)</f>
        <v>3687000</v>
      </c>
      <c r="I13" s="13"/>
      <c r="J13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179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57.45" hidden="false" customHeight="false" outlineLevel="0" collapsed="false">
      <c r="A4" s="26" t="n">
        <v>1</v>
      </c>
      <c r="B4" s="27" t="s">
        <v>181</v>
      </c>
      <c r="C4" s="8" t="s">
        <v>182</v>
      </c>
      <c r="D4" s="8" t="s">
        <v>183</v>
      </c>
      <c r="E4" s="26" t="s">
        <v>53</v>
      </c>
      <c r="F4" s="26" t="n">
        <f aca="false">1*Сводка!$B$5</f>
        <v>3</v>
      </c>
      <c r="G4" s="29" t="n">
        <v>86000</v>
      </c>
      <c r="H4" s="30" t="n">
        <f aca="false">F4*G4</f>
        <v>258000</v>
      </c>
      <c r="I4" s="8" t="s">
        <v>184</v>
      </c>
      <c r="J4" s="8" t="s">
        <v>185</v>
      </c>
    </row>
    <row r="5" customFormat="false" ht="23.85" hidden="false" customHeight="false" outlineLevel="0" collapsed="false">
      <c r="A5" s="26" t="n">
        <v>2</v>
      </c>
      <c r="B5" s="27" t="s">
        <v>186</v>
      </c>
      <c r="C5" s="8" t="s">
        <v>187</v>
      </c>
      <c r="D5" s="8" t="s">
        <v>188</v>
      </c>
      <c r="E5" s="26" t="s">
        <v>53</v>
      </c>
      <c r="F5" s="26" t="n">
        <f aca="false">1*Сводка!$B$5</f>
        <v>3</v>
      </c>
      <c r="G5" s="29" t="n">
        <v>5000</v>
      </c>
      <c r="H5" s="30" t="n">
        <f aca="false">F5*G5</f>
        <v>15000</v>
      </c>
      <c r="I5" s="8" t="s">
        <v>85</v>
      </c>
      <c r="J5" s="8"/>
    </row>
    <row r="6" customFormat="false" ht="23.85" hidden="false" customHeight="false" outlineLevel="0" collapsed="false">
      <c r="A6" s="26" t="n">
        <v>3</v>
      </c>
      <c r="B6" s="27" t="s">
        <v>189</v>
      </c>
      <c r="C6" s="8" t="s">
        <v>190</v>
      </c>
      <c r="D6" s="8" t="s">
        <v>191</v>
      </c>
      <c r="E6" s="26" t="s">
        <v>64</v>
      </c>
      <c r="F6" s="26" t="n">
        <f aca="false">1*Сводка!$B$5</f>
        <v>3</v>
      </c>
      <c r="G6" s="29" t="n">
        <v>15000</v>
      </c>
      <c r="H6" s="30" t="n">
        <f aca="false">F6*G6</f>
        <v>45000</v>
      </c>
      <c r="I6" s="8" t="s">
        <v>85</v>
      </c>
      <c r="J6" s="8"/>
    </row>
    <row r="7" customFormat="false" ht="23.85" hidden="false" customHeight="false" outlineLevel="0" collapsed="false">
      <c r="A7" s="26" t="n">
        <v>4</v>
      </c>
      <c r="B7" s="27" t="s">
        <v>192</v>
      </c>
      <c r="C7" s="8" t="s">
        <v>193</v>
      </c>
      <c r="D7" s="8" t="s">
        <v>194</v>
      </c>
      <c r="E7" s="26" t="s">
        <v>53</v>
      </c>
      <c r="F7" s="26" t="n">
        <f aca="false">1*Сводка!$B$5</f>
        <v>3</v>
      </c>
      <c r="G7" s="29" t="n">
        <v>2000</v>
      </c>
      <c r="H7" s="30" t="n">
        <f aca="false">F7*G7</f>
        <v>6000</v>
      </c>
      <c r="I7" s="8" t="s">
        <v>195</v>
      </c>
      <c r="J7" s="8"/>
    </row>
    <row r="8" customFormat="false" ht="15" hidden="false" customHeight="false" outlineLevel="0" collapsed="false">
      <c r="A8" s="13"/>
      <c r="B8" s="11" t="s">
        <v>107</v>
      </c>
      <c r="C8" s="13"/>
      <c r="D8" s="13"/>
      <c r="E8" s="13"/>
      <c r="F8" s="13"/>
      <c r="G8" s="13"/>
      <c r="H8" s="12" t="n">
        <f aca="false">SUM(H4:H7)</f>
        <v>324000</v>
      </c>
      <c r="I8" s="13"/>
      <c r="J8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196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46.25" hidden="false" customHeight="false" outlineLevel="0" collapsed="false">
      <c r="A4" s="26" t="n">
        <v>1</v>
      </c>
      <c r="B4" s="27" t="s">
        <v>198</v>
      </c>
      <c r="C4" s="8" t="s">
        <v>199</v>
      </c>
      <c r="D4" s="8" t="s">
        <v>200</v>
      </c>
      <c r="E4" s="26" t="s">
        <v>53</v>
      </c>
      <c r="F4" s="26" t="n">
        <f aca="false">1*Сводка!$B$5</f>
        <v>3</v>
      </c>
      <c r="G4" s="29" t="n">
        <v>55000</v>
      </c>
      <c r="H4" s="30" t="n">
        <f aca="false">F4*G4</f>
        <v>165000</v>
      </c>
      <c r="I4" s="8" t="s">
        <v>201</v>
      </c>
      <c r="J4" s="8" t="s">
        <v>202</v>
      </c>
    </row>
    <row r="5" customFormat="false" ht="23.85" hidden="false" customHeight="false" outlineLevel="0" collapsed="false">
      <c r="A5" s="26" t="n">
        <v>2</v>
      </c>
      <c r="B5" s="27" t="s">
        <v>203</v>
      </c>
      <c r="C5" s="8" t="s">
        <v>204</v>
      </c>
      <c r="D5" s="8" t="s">
        <v>205</v>
      </c>
      <c r="E5" s="26" t="s">
        <v>53</v>
      </c>
      <c r="F5" s="26" t="n">
        <f aca="false">1*Сводка!$B$5</f>
        <v>3</v>
      </c>
      <c r="G5" s="29" t="n">
        <v>25000</v>
      </c>
      <c r="H5" s="30" t="n">
        <f aca="false">F5*G5</f>
        <v>75000</v>
      </c>
      <c r="I5" s="8" t="s">
        <v>206</v>
      </c>
      <c r="J5" s="8"/>
    </row>
    <row r="6" customFormat="false" ht="23.85" hidden="false" customHeight="false" outlineLevel="0" collapsed="false">
      <c r="A6" s="26" t="n">
        <v>3</v>
      </c>
      <c r="B6" s="27" t="s">
        <v>207</v>
      </c>
      <c r="C6" s="8" t="s">
        <v>208</v>
      </c>
      <c r="D6" s="8" t="s">
        <v>194</v>
      </c>
      <c r="E6" s="26" t="s">
        <v>53</v>
      </c>
      <c r="F6" s="26" t="n">
        <f aca="false">1*Сводка!$B$5</f>
        <v>3</v>
      </c>
      <c r="G6" s="29" t="n">
        <v>2000</v>
      </c>
      <c r="H6" s="30" t="n">
        <f aca="false">F6*G6</f>
        <v>6000</v>
      </c>
      <c r="I6" s="8" t="s">
        <v>195</v>
      </c>
      <c r="J6" s="8"/>
    </row>
    <row r="7" customFormat="false" ht="23.85" hidden="false" customHeight="false" outlineLevel="0" collapsed="false">
      <c r="A7" s="26" t="n">
        <v>4</v>
      </c>
      <c r="B7" s="27" t="s">
        <v>209</v>
      </c>
      <c r="C7" s="8" t="s">
        <v>210</v>
      </c>
      <c r="D7" s="8" t="s">
        <v>211</v>
      </c>
      <c r="E7" s="26" t="s">
        <v>64</v>
      </c>
      <c r="F7" s="28" t="n">
        <v>1</v>
      </c>
      <c r="G7" s="29" t="n">
        <v>105000</v>
      </c>
      <c r="H7" s="30" t="n">
        <f aca="false">F7*G7</f>
        <v>105000</v>
      </c>
      <c r="I7" s="8" t="s">
        <v>212</v>
      </c>
      <c r="J7" s="8" t="s">
        <v>213</v>
      </c>
    </row>
    <row r="8" customFormat="false" ht="15" hidden="false" customHeight="false" outlineLevel="0" collapsed="false">
      <c r="A8" s="13"/>
      <c r="B8" s="11" t="s">
        <v>107</v>
      </c>
      <c r="C8" s="13"/>
      <c r="D8" s="13"/>
      <c r="E8" s="13"/>
      <c r="F8" s="13"/>
      <c r="G8" s="13"/>
      <c r="H8" s="12" t="n">
        <f aca="false">SUM(H4:H7)</f>
        <v>351000</v>
      </c>
      <c r="I8" s="13"/>
      <c r="J8" s="13"/>
    </row>
    <row r="10" customFormat="false" ht="15" hidden="false" customHeight="false" outlineLevel="0" collapsed="false">
      <c r="B10" s="3" t="s">
        <v>214</v>
      </c>
      <c r="C10" s="4"/>
      <c r="D10" s="4"/>
      <c r="E10" s="4"/>
      <c r="F10" s="4"/>
      <c r="G10" s="4"/>
      <c r="H10" s="4"/>
      <c r="I10" s="4"/>
      <c r="J10" s="4"/>
    </row>
    <row r="11" customFormat="false" ht="23.85" hidden="false" customHeight="false" outlineLevel="0" collapsed="false">
      <c r="B11" s="8" t="s">
        <v>215</v>
      </c>
      <c r="C11" s="8" t="s">
        <v>216</v>
      </c>
      <c r="D11" s="8" t="s">
        <v>217</v>
      </c>
      <c r="E11" s="31"/>
      <c r="F11" s="8" t="n">
        <f aca="false">Сводка!$B$5</f>
        <v>3</v>
      </c>
      <c r="G11" s="29" t="n">
        <v>50400</v>
      </c>
      <c r="H11" s="30" t="n">
        <f aca="false">F11*G11</f>
        <v>151200</v>
      </c>
      <c r="I11" s="31"/>
      <c r="J11" s="8" t="s">
        <v>218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219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220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46.25" hidden="false" customHeight="false" outlineLevel="0" collapsed="false">
      <c r="A4" s="26" t="n">
        <v>1</v>
      </c>
      <c r="B4" s="27" t="s">
        <v>221</v>
      </c>
      <c r="C4" s="8" t="s">
        <v>222</v>
      </c>
      <c r="D4" s="8" t="s">
        <v>223</v>
      </c>
      <c r="E4" s="26" t="s">
        <v>53</v>
      </c>
      <c r="F4" s="28" t="n">
        <v>1</v>
      </c>
      <c r="G4" s="29" t="n">
        <v>180000</v>
      </c>
      <c r="H4" s="30" t="n">
        <f aca="false">F4*G4</f>
        <v>180000</v>
      </c>
      <c r="I4" s="8" t="s">
        <v>224</v>
      </c>
      <c r="J4" s="8"/>
    </row>
    <row r="5" customFormat="false" ht="35.05" hidden="false" customHeight="false" outlineLevel="0" collapsed="false">
      <c r="A5" s="26" t="n">
        <v>2</v>
      </c>
      <c r="B5" s="27" t="s">
        <v>225</v>
      </c>
      <c r="C5" s="8" t="s">
        <v>226</v>
      </c>
      <c r="D5" s="8" t="s">
        <v>227</v>
      </c>
      <c r="E5" s="26" t="s">
        <v>53</v>
      </c>
      <c r="F5" s="28" t="n">
        <v>8</v>
      </c>
      <c r="G5" s="29" t="n">
        <v>110000</v>
      </c>
      <c r="H5" s="30" t="n">
        <f aca="false">F5*G5</f>
        <v>880000</v>
      </c>
      <c r="I5" s="8" t="s">
        <v>228</v>
      </c>
      <c r="J5" s="8" t="s">
        <v>229</v>
      </c>
    </row>
    <row r="6" customFormat="false" ht="23.85" hidden="false" customHeight="false" outlineLevel="0" collapsed="false">
      <c r="A6" s="26" t="n">
        <v>3</v>
      </c>
      <c r="B6" s="27" t="s">
        <v>230</v>
      </c>
      <c r="C6" s="8" t="s">
        <v>231</v>
      </c>
      <c r="D6" s="8" t="s">
        <v>232</v>
      </c>
      <c r="E6" s="26" t="s">
        <v>53</v>
      </c>
      <c r="F6" s="28" t="n">
        <v>1</v>
      </c>
      <c r="G6" s="29" t="n">
        <v>20000</v>
      </c>
      <c r="H6" s="30" t="n">
        <f aca="false">F6*G6</f>
        <v>20000</v>
      </c>
      <c r="I6" s="8" t="s">
        <v>233</v>
      </c>
      <c r="J6" s="8"/>
    </row>
    <row r="7" customFormat="false" ht="15" hidden="false" customHeight="false" outlineLevel="0" collapsed="false">
      <c r="A7" s="26" t="n">
        <v>4</v>
      </c>
      <c r="B7" s="27" t="s">
        <v>234</v>
      </c>
      <c r="C7" s="8" t="s">
        <v>235</v>
      </c>
      <c r="D7" s="8" t="s">
        <v>236</v>
      </c>
      <c r="E7" s="26" t="s">
        <v>64</v>
      </c>
      <c r="F7" s="28" t="n">
        <v>1</v>
      </c>
      <c r="G7" s="29" t="n">
        <v>20000</v>
      </c>
      <c r="H7" s="30" t="n">
        <f aca="false">F7*G7</f>
        <v>20000</v>
      </c>
      <c r="I7" s="8" t="s">
        <v>237</v>
      </c>
      <c r="J7" s="8"/>
    </row>
    <row r="8" customFormat="false" ht="23.85" hidden="false" customHeight="false" outlineLevel="0" collapsed="false">
      <c r="A8" s="26" t="n">
        <v>5</v>
      </c>
      <c r="B8" s="27" t="s">
        <v>238</v>
      </c>
      <c r="C8" s="8" t="s">
        <v>239</v>
      </c>
      <c r="D8" s="8" t="s">
        <v>240</v>
      </c>
      <c r="E8" s="26" t="s">
        <v>53</v>
      </c>
      <c r="F8" s="28" t="n">
        <v>1</v>
      </c>
      <c r="G8" s="29" t="n">
        <v>25000</v>
      </c>
      <c r="H8" s="30" t="n">
        <f aca="false">F8*G8</f>
        <v>25000</v>
      </c>
      <c r="I8" s="8" t="s">
        <v>85</v>
      </c>
      <c r="J8" s="8"/>
    </row>
    <row r="9" customFormat="false" ht="15" hidden="false" customHeight="false" outlineLevel="0" collapsed="false">
      <c r="A9" s="26" t="n">
        <v>6</v>
      </c>
      <c r="B9" s="27" t="s">
        <v>241</v>
      </c>
      <c r="C9" s="8" t="s">
        <v>242</v>
      </c>
      <c r="D9" s="8" t="s">
        <v>104</v>
      </c>
      <c r="E9" s="26" t="s">
        <v>105</v>
      </c>
      <c r="F9" s="28" t="n">
        <v>1</v>
      </c>
      <c r="G9" s="29" t="n">
        <v>20000</v>
      </c>
      <c r="H9" s="30" t="n">
        <f aca="false">F9*G9</f>
        <v>20000</v>
      </c>
      <c r="I9" s="8" t="s">
        <v>85</v>
      </c>
      <c r="J9" s="8"/>
    </row>
    <row r="10" customFormat="false" ht="15" hidden="false" customHeight="false" outlineLevel="0" collapsed="false">
      <c r="A10" s="13"/>
      <c r="B10" s="11" t="s">
        <v>107</v>
      </c>
      <c r="C10" s="13"/>
      <c r="D10" s="13"/>
      <c r="E10" s="13"/>
      <c r="F10" s="13"/>
      <c r="G10" s="13"/>
      <c r="H10" s="12" t="n">
        <f aca="false">SUM(H4:H9)</f>
        <v>1145000</v>
      </c>
      <c r="I10" s="13"/>
      <c r="J10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243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46.25" hidden="false" customHeight="false" outlineLevel="0" collapsed="false">
      <c r="A4" s="26" t="n">
        <v>1</v>
      </c>
      <c r="B4" s="27" t="s">
        <v>245</v>
      </c>
      <c r="C4" s="8" t="s">
        <v>246</v>
      </c>
      <c r="D4" s="8" t="s">
        <v>247</v>
      </c>
      <c r="E4" s="26" t="s">
        <v>64</v>
      </c>
      <c r="F4" s="28" t="n">
        <v>1</v>
      </c>
      <c r="G4" s="29" t="n">
        <v>15000</v>
      </c>
      <c r="H4" s="30" t="n">
        <f aca="false">F4*G4</f>
        <v>15000</v>
      </c>
      <c r="I4" s="8" t="s">
        <v>248</v>
      </c>
      <c r="J4" s="8" t="s">
        <v>249</v>
      </c>
    </row>
    <row r="5" customFormat="false" ht="35.05" hidden="false" customHeight="false" outlineLevel="0" collapsed="false">
      <c r="A5" s="26" t="n">
        <v>2</v>
      </c>
      <c r="B5" s="27" t="s">
        <v>250</v>
      </c>
      <c r="C5" s="8" t="s">
        <v>251</v>
      </c>
      <c r="D5" s="8" t="s">
        <v>252</v>
      </c>
      <c r="E5" s="26" t="s">
        <v>53</v>
      </c>
      <c r="F5" s="28" t="n">
        <v>2</v>
      </c>
      <c r="G5" s="29" t="n">
        <v>58000</v>
      </c>
      <c r="H5" s="30" t="n">
        <f aca="false">F5*G5</f>
        <v>116000</v>
      </c>
      <c r="I5" s="8" t="s">
        <v>253</v>
      </c>
      <c r="J5" s="8" t="s">
        <v>254</v>
      </c>
    </row>
    <row r="6" customFormat="false" ht="23.85" hidden="false" customHeight="false" outlineLevel="0" collapsed="false">
      <c r="A6" s="26" t="n">
        <v>3</v>
      </c>
      <c r="B6" s="27" t="s">
        <v>255</v>
      </c>
      <c r="C6" s="8" t="s">
        <v>256</v>
      </c>
      <c r="D6" s="8" t="s">
        <v>257</v>
      </c>
      <c r="E6" s="26" t="s">
        <v>53</v>
      </c>
      <c r="F6" s="28" t="n">
        <v>1</v>
      </c>
      <c r="G6" s="29" t="n">
        <v>49000</v>
      </c>
      <c r="H6" s="30" t="n">
        <f aca="false">F6*G6</f>
        <v>49000</v>
      </c>
      <c r="I6" s="8" t="s">
        <v>258</v>
      </c>
      <c r="J6" s="8"/>
    </row>
    <row r="7" customFormat="false" ht="23.85" hidden="false" customHeight="false" outlineLevel="0" collapsed="false">
      <c r="A7" s="26" t="n">
        <v>4</v>
      </c>
      <c r="B7" s="27" t="s">
        <v>259</v>
      </c>
      <c r="C7" s="8" t="s">
        <v>260</v>
      </c>
      <c r="D7" s="8" t="s">
        <v>261</v>
      </c>
      <c r="E7" s="26" t="s">
        <v>64</v>
      </c>
      <c r="F7" s="28" t="n">
        <v>1</v>
      </c>
      <c r="G7" s="29" t="n">
        <v>3000</v>
      </c>
      <c r="H7" s="30" t="n">
        <f aca="false">F7*G7</f>
        <v>3000</v>
      </c>
      <c r="I7" s="8" t="s">
        <v>85</v>
      </c>
      <c r="J7" s="8"/>
    </row>
    <row r="8" customFormat="false" ht="23.85" hidden="false" customHeight="false" outlineLevel="0" collapsed="false">
      <c r="A8" s="26" t="n">
        <v>5</v>
      </c>
      <c r="B8" s="27" t="s">
        <v>262</v>
      </c>
      <c r="C8" s="8" t="s">
        <v>263</v>
      </c>
      <c r="D8" s="8" t="s">
        <v>264</v>
      </c>
      <c r="E8" s="26" t="s">
        <v>64</v>
      </c>
      <c r="F8" s="26" t="n">
        <f aca="false">1*Сводка!$B$5</f>
        <v>3</v>
      </c>
      <c r="G8" s="29" t="n">
        <v>8000</v>
      </c>
      <c r="H8" s="30" t="n">
        <f aca="false">F8*G8</f>
        <v>24000</v>
      </c>
      <c r="I8" s="8" t="s">
        <v>265</v>
      </c>
      <c r="J8" s="8"/>
    </row>
    <row r="9" customFormat="false" ht="23.85" hidden="false" customHeight="false" outlineLevel="0" collapsed="false">
      <c r="A9" s="26" t="n">
        <v>6</v>
      </c>
      <c r="B9" s="27" t="s">
        <v>266</v>
      </c>
      <c r="C9" s="8" t="s">
        <v>267</v>
      </c>
      <c r="D9" s="8" t="s">
        <v>268</v>
      </c>
      <c r="E9" s="26" t="s">
        <v>53</v>
      </c>
      <c r="F9" s="26" t="n">
        <f aca="false">1*Сводка!$B$5</f>
        <v>3</v>
      </c>
      <c r="G9" s="29" t="n">
        <v>22000</v>
      </c>
      <c r="H9" s="30" t="n">
        <f aca="false">F9*G9</f>
        <v>66000</v>
      </c>
      <c r="I9" s="8" t="s">
        <v>269</v>
      </c>
      <c r="J9" s="8"/>
    </row>
    <row r="10" customFormat="false" ht="15" hidden="false" customHeight="false" outlineLevel="0" collapsed="false">
      <c r="A10" s="13"/>
      <c r="B10" s="11" t="s">
        <v>107</v>
      </c>
      <c r="C10" s="13"/>
      <c r="D10" s="13"/>
      <c r="E10" s="13"/>
      <c r="F10" s="13"/>
      <c r="G10" s="13"/>
      <c r="H10" s="12" t="n">
        <f aca="false">SUM(H4:H9)</f>
        <v>273000</v>
      </c>
      <c r="I10" s="13"/>
      <c r="J10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38"/>
  </cols>
  <sheetData>
    <row r="1" customFormat="false" ht="16.15" hidden="false" customHeight="false" outlineLevel="0" collapsed="false">
      <c r="A1" s="24" t="s">
        <v>270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25.5" hidden="false" customHeight="true" outlineLevel="0" collapsed="false">
      <c r="A2" s="2" t="s">
        <v>271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5" t="s">
        <v>40</v>
      </c>
      <c r="B3" s="25" t="s">
        <v>41</v>
      </c>
      <c r="C3" s="25" t="s">
        <v>42</v>
      </c>
      <c r="D3" s="25" t="s">
        <v>43</v>
      </c>
      <c r="E3" s="25" t="s">
        <v>44</v>
      </c>
      <c r="F3" s="25" t="s">
        <v>45</v>
      </c>
      <c r="G3" s="25" t="s">
        <v>46</v>
      </c>
      <c r="H3" s="25" t="s">
        <v>47</v>
      </c>
      <c r="I3" s="25" t="s">
        <v>48</v>
      </c>
      <c r="J3" s="25" t="s">
        <v>49</v>
      </c>
    </row>
    <row r="4" customFormat="false" ht="23.85" hidden="false" customHeight="false" outlineLevel="0" collapsed="false">
      <c r="A4" s="26" t="n">
        <v>1</v>
      </c>
      <c r="B4" s="27" t="s">
        <v>272</v>
      </c>
      <c r="C4" s="8" t="s">
        <v>273</v>
      </c>
      <c r="D4" s="8" t="s">
        <v>274</v>
      </c>
      <c r="E4" s="26" t="s">
        <v>53</v>
      </c>
      <c r="F4" s="28" t="n">
        <v>1</v>
      </c>
      <c r="G4" s="29" t="n">
        <v>840000</v>
      </c>
      <c r="H4" s="30" t="n">
        <f aca="false">F4*G4</f>
        <v>840000</v>
      </c>
      <c r="I4" s="8" t="s">
        <v>275</v>
      </c>
      <c r="J4" s="8" t="s">
        <v>276</v>
      </c>
    </row>
    <row r="5" customFormat="false" ht="35.05" hidden="false" customHeight="false" outlineLevel="0" collapsed="false">
      <c r="A5" s="26" t="n">
        <v>2</v>
      </c>
      <c r="B5" s="27" t="s">
        <v>277</v>
      </c>
      <c r="C5" s="8" t="s">
        <v>278</v>
      </c>
      <c r="D5" s="8" t="s">
        <v>279</v>
      </c>
      <c r="E5" s="26" t="s">
        <v>53</v>
      </c>
      <c r="F5" s="28" t="n">
        <v>6</v>
      </c>
      <c r="G5" s="29" t="n">
        <v>100000</v>
      </c>
      <c r="H5" s="30" t="n">
        <f aca="false">F5*G5</f>
        <v>600000</v>
      </c>
      <c r="I5" s="8" t="s">
        <v>280</v>
      </c>
      <c r="J5" s="8" t="s">
        <v>281</v>
      </c>
    </row>
    <row r="6" customFormat="false" ht="35.05" hidden="false" customHeight="false" outlineLevel="0" collapsed="false">
      <c r="A6" s="26" t="n">
        <v>3</v>
      </c>
      <c r="B6" s="27" t="s">
        <v>282</v>
      </c>
      <c r="C6" s="8" t="s">
        <v>283</v>
      </c>
      <c r="D6" s="8" t="s">
        <v>284</v>
      </c>
      <c r="E6" s="26" t="s">
        <v>53</v>
      </c>
      <c r="F6" s="28" t="n">
        <v>3</v>
      </c>
      <c r="G6" s="29" t="n">
        <v>500000</v>
      </c>
      <c r="H6" s="30" t="n">
        <f aca="false">F6*G6</f>
        <v>1500000</v>
      </c>
      <c r="I6" s="8" t="s">
        <v>285</v>
      </c>
      <c r="J6" s="8" t="s">
        <v>286</v>
      </c>
    </row>
    <row r="7" customFormat="false" ht="35.05" hidden="false" customHeight="false" outlineLevel="0" collapsed="false">
      <c r="A7" s="26" t="n">
        <v>4</v>
      </c>
      <c r="B7" s="27" t="s">
        <v>287</v>
      </c>
      <c r="C7" s="8" t="s">
        <v>288</v>
      </c>
      <c r="D7" s="8" t="s">
        <v>289</v>
      </c>
      <c r="E7" s="26" t="s">
        <v>53</v>
      </c>
      <c r="F7" s="28" t="n">
        <v>3</v>
      </c>
      <c r="G7" s="29" t="n">
        <v>500000</v>
      </c>
      <c r="H7" s="30" t="n">
        <f aca="false">F7*G7</f>
        <v>1500000</v>
      </c>
      <c r="I7" s="8" t="s">
        <v>290</v>
      </c>
      <c r="J7" s="8" t="s">
        <v>291</v>
      </c>
    </row>
    <row r="8" customFormat="false" ht="15" hidden="false" customHeight="false" outlineLevel="0" collapsed="false">
      <c r="A8" s="26" t="n">
        <v>5</v>
      </c>
      <c r="B8" s="27" t="s">
        <v>292</v>
      </c>
      <c r="C8" s="8" t="s">
        <v>293</v>
      </c>
      <c r="D8" s="8" t="s">
        <v>294</v>
      </c>
      <c r="E8" s="26" t="s">
        <v>64</v>
      </c>
      <c r="F8" s="28" t="n">
        <v>1</v>
      </c>
      <c r="G8" s="29" t="n">
        <v>658000</v>
      </c>
      <c r="H8" s="30" t="n">
        <f aca="false">F8*G8</f>
        <v>658000</v>
      </c>
      <c r="I8" s="8" t="s">
        <v>295</v>
      </c>
      <c r="J8" s="8"/>
    </row>
    <row r="9" customFormat="false" ht="23.85" hidden="false" customHeight="false" outlineLevel="0" collapsed="false">
      <c r="A9" s="26" t="n">
        <v>6</v>
      </c>
      <c r="B9" s="27" t="s">
        <v>296</v>
      </c>
      <c r="C9" s="8" t="s">
        <v>297</v>
      </c>
      <c r="D9" s="8" t="s">
        <v>298</v>
      </c>
      <c r="E9" s="26" t="s">
        <v>53</v>
      </c>
      <c r="F9" s="28" t="n">
        <v>1</v>
      </c>
      <c r="G9" s="29" t="n">
        <v>140000</v>
      </c>
      <c r="H9" s="30" t="n">
        <f aca="false">F9*G9</f>
        <v>140000</v>
      </c>
      <c r="I9" s="8" t="s">
        <v>299</v>
      </c>
      <c r="J9" s="8"/>
    </row>
    <row r="10" customFormat="false" ht="23.85" hidden="false" customHeight="false" outlineLevel="0" collapsed="false">
      <c r="A10" s="26" t="n">
        <v>7</v>
      </c>
      <c r="B10" s="27" t="s">
        <v>300</v>
      </c>
      <c r="C10" s="8" t="s">
        <v>301</v>
      </c>
      <c r="D10" s="8" t="s">
        <v>302</v>
      </c>
      <c r="E10" s="26" t="s">
        <v>112</v>
      </c>
      <c r="F10" s="28" t="n">
        <v>3</v>
      </c>
      <c r="G10" s="29" t="n">
        <v>50000</v>
      </c>
      <c r="H10" s="30" t="n">
        <f aca="false">F10*G10</f>
        <v>150000</v>
      </c>
      <c r="I10" s="8" t="s">
        <v>303</v>
      </c>
      <c r="J10" s="8"/>
    </row>
    <row r="11" customFormat="false" ht="15" hidden="false" customHeight="false" outlineLevel="0" collapsed="false">
      <c r="A11" s="13"/>
      <c r="B11" s="11" t="s">
        <v>107</v>
      </c>
      <c r="C11" s="13"/>
      <c r="D11" s="13"/>
      <c r="E11" s="13"/>
      <c r="F11" s="13"/>
      <c r="G11" s="13"/>
      <c r="H11" s="12" t="n">
        <f aca="false">SUM(H4:H10)</f>
        <v>5388000</v>
      </c>
      <c r="I11" s="13"/>
      <c r="J11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2026-07-30T19:28:27Z</dcterms:created>
  <dc:creator>openpyxl</dc:creator>
  <dc:description/>
  <dc:language>en-US</dc:language>
  <cp:lastModifiedBy/>
  <dcterms:modified xsi:type="dcterms:W3CDTF">2026-07-30T19:28:27Z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